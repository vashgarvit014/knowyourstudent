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ull Report" sheetId="2" state="visible" r:id="rId4"/>
  </sheets>
  <definedNames>
    <definedName function="false" hidden="false" localSheetId="1" name="_xlnm.Print_Area" vbProcedure="false">'Full Report'!$A$1:$U$218</definedName>
    <definedName function="false" hidden="true" localSheetId="1" name="_xlnm._FilterDatabase" vbProcedure="false">'Full Report'!$A$5:$U$218</definedName>
    <definedName function="false" hidden="false" localSheetId="0" name="_xlnm.Print_Area" vbProcedure="false">Summary!$A$1:$L$66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<sst xmlns="http://schemas.openxmlformats.org/spreadsheetml/2006/main" count="798" uniqueCount="499">
  <si>
    <t xml:space="preserve">Poornima Institute of Engineering and Technology, Jaipur — Department of Computer Engineering</t>
  </si>
  <si>
    <t xml:space="preserve">B.Tech V Semester (CSE &amp; CS(R)) — RTU Debarment, Assignment Eligibility, DECA/SODECA Marks &amp; Scope for Improvement</t>
  </si>
  <si>
    <t xml:space="preserve">Prepared by: Dr. Anil Kumar, Professor &amp; Head, Department of Computer Engineering. Source: Digital Campus 'Complete Attendance Details' for Sections 5CS-A, 5CS-B, 5CS-C and 5CSR-D, data synchronised 7 Oct 2026. 'Improvement possible' = position on the Last Teaching Day (13 Nov 2026) if the student attends every remaining class. Student-wise details are on the 'Full Report' tab.</t>
  </si>
  <si>
    <t xml:space="preserve">Criteria and assumptions (edit the yellow cells — every figure on both tabs recalculates)</t>
  </si>
  <si>
    <t xml:space="preserve">RTU minimum attendance for examination eligibility; also the level for full DECA/SODECA attendance marks (20/20)</t>
  </si>
  <si>
    <t xml:space="preserve">Assignments are counted only at or above this attendance (Department rule, as instructed by HOD)</t>
  </si>
  <si>
    <t xml:space="preserve">RTU debarment risk: attendance below this level (threshold used in Department reports, as instructed by HOD)</t>
  </si>
  <si>
    <t xml:space="preserve">Attendance position as on (Digital Campus data synchronised)</t>
  </si>
  <si>
    <t xml:space="preserve">Last Teaching Day, B.Tech V Semester (PIET Academic Calendar 2026-27)</t>
  </si>
  <si>
    <t xml:space="preserve">Teaching days left, 8 Oct – 13 Nov (Mon–Fri; excl. Maha Navami 19 Oct, Vijayadashami 20 Oct and Diwali break 6 &amp; 9–11 Nov)</t>
  </si>
  <si>
    <t xml:space="preserve">Periods per day (calibrated: 361 periods logged over 67 Mon–Fri teaching days since 6 Jul 2026)</t>
  </si>
  <si>
    <t xml:space="preserve">Estimated periods left till the Last Teaching Day (= teaching days × periods per day, rounded)</t>
  </si>
  <si>
    <t xml:space="preserve">Section-wise position as on 7 October 2026</t>
  </si>
  <si>
    <t xml:space="preserve">Section</t>
  </si>
  <si>
    <t xml:space="preserve">Students</t>
  </si>
  <si>
    <t xml:space="preserve">Average
Attendance</t>
  </si>
  <si>
    <t xml:space="preserve">75% &amp; above
(RTU eligible)</t>
  </si>
  <si>
    <t xml:space="preserve">% of
Section</t>
  </si>
  <si>
    <t xml:space="preserve">Below 75%
(RTU shortage)</t>
  </si>
  <si>
    <t xml:space="preserve">RTU Debar
Risk (&lt;30%)</t>
  </si>
  <si>
    <t xml:space="preserve">Assignments
Counted
(55%+)</t>
  </si>
  <si>
    <t xml:space="preserve">Assignments
NOT Counted
(&lt;55%)</t>
  </si>
  <si>
    <t xml:space="preserve">Average
DECA (/20)</t>
  </si>
  <si>
    <t xml:space="preserve">Full DECA
20/20</t>
  </si>
  <si>
    <t xml:space="preserve">DECA Marks
Lost (Section
Total)</t>
  </si>
  <si>
    <t xml:space="preserve">5CS-A</t>
  </si>
  <si>
    <t xml:space="preserve">5CS-B</t>
  </si>
  <si>
    <t xml:space="preserve">5CS-C</t>
  </si>
  <si>
    <t xml:space="preserve">5CSR-D</t>
  </si>
  <si>
    <t xml:space="preserve">Total (V Sem)</t>
  </si>
  <si>
    <t xml:space="preserve">Scope for improvement — position on the Last Teaching Day (13 Nov 2026) if every remaining class is attended</t>
  </si>
  <si>
    <t xml:space="preserve">Measure</t>
  </si>
  <si>
    <t xml:space="preserve">Today
(7 Oct)</t>
  </si>
  <si>
    <t xml:space="preserve">On 13 Nov
(if regular)</t>
  </si>
  <si>
    <t xml:space="preserve">Change</t>
  </si>
  <si>
    <t xml:space="preserve">Average attendance</t>
  </si>
  <si>
    <t xml:space="preserve">Average DECA/SODECA attendance marks (/20)</t>
  </si>
  <si>
    <t xml:space="preserve">Students meeting RTU 75% eligibility</t>
  </si>
  <si>
    <t xml:space="preserve">Students whose assignments are counted (55%+)</t>
  </si>
  <si>
    <t xml:space="preserve">Students at RTU debarment risk (&lt;30%)</t>
  </si>
  <si>
    <t xml:space="preserve">Students with full DECA 20/20</t>
  </si>
  <si>
    <t xml:space="preserve">Total DECA attendance marks lost today (whole semester) / marks recoverable by 13 Nov</t>
  </si>
  <si>
    <t xml:space="preserve">Students at RTU debarment risk today (attendance below 30%) — immediate action required</t>
  </si>
  <si>
    <t xml:space="preserve">S.No</t>
  </si>
  <si>
    <t xml:space="preserve">Reg. No</t>
  </si>
  <si>
    <t xml:space="preserve">Name</t>
  </si>
  <si>
    <t xml:space="preserve">Present</t>
  </si>
  <si>
    <t xml:space="preserve">Total</t>
  </si>
  <si>
    <t xml:space="preserve">Attendance
Today</t>
  </si>
  <si>
    <t xml:space="preserve">Max % on
13 Nov</t>
  </si>
  <si>
    <t xml:space="preserve">Will Cross
30% by 13 Nov?</t>
  </si>
  <si>
    <t xml:space="preserve">PIET24CS056</t>
  </si>
  <si>
    <t xml:space="preserve">GOURAV BOHRA</t>
  </si>
  <si>
    <t xml:space="preserve">PIET25CS800</t>
  </si>
  <si>
    <t xml:space="preserve">TANISH</t>
  </si>
  <si>
    <t xml:space="preserve">PIET24CS027</t>
  </si>
  <si>
    <t xml:space="preserve">ANUSHKA JADDON</t>
  </si>
  <si>
    <t xml:space="preserve">PIET24CS051</t>
  </si>
  <si>
    <t xml:space="preserve">FEZAN KHAN</t>
  </si>
  <si>
    <t xml:space="preserve">PIET24CS020</t>
  </si>
  <si>
    <t xml:space="preserve">ANKIT SINGH SHEKHAWAT</t>
  </si>
  <si>
    <t xml:space="preserve">PIET24CS015</t>
  </si>
  <si>
    <t xml:space="preserve">ALOK SHARMA</t>
  </si>
  <si>
    <t xml:space="preserve">PIET24CS042</t>
  </si>
  <si>
    <t xml:space="preserve">DEEPANSHU SHEKHAWAT</t>
  </si>
  <si>
    <t xml:space="preserve">PIET24CS045</t>
  </si>
  <si>
    <t xml:space="preserve">DEVESH VIJAY</t>
  </si>
  <si>
    <t xml:space="preserve">PIET24CS062</t>
  </si>
  <si>
    <t xml:space="preserve">HARSHVEER SHEKHAWAT</t>
  </si>
  <si>
    <t xml:space="preserve">PIET24CS109</t>
  </si>
  <si>
    <t xml:space="preserve">NAMAN SHARMA</t>
  </si>
  <si>
    <t xml:space="preserve">PIET24CS142</t>
  </si>
  <si>
    <t xml:space="preserve">RISHIT MANGAL</t>
  </si>
  <si>
    <t xml:space="preserve">PIET24CS186</t>
  </si>
  <si>
    <t xml:space="preserve">VIVEK KUMAR</t>
  </si>
  <si>
    <t xml:space="preserve">PIET24CS158</t>
  </si>
  <si>
    <t xml:space="preserve">SHIVANI</t>
  </si>
  <si>
    <t xml:space="preserve">PIET24CS171</t>
  </si>
  <si>
    <t xml:space="preserve">PIET24CS147</t>
  </si>
  <si>
    <t xml:space="preserve">SAKSHAM AGRAWAL</t>
  </si>
  <si>
    <t xml:space="preserve">PIET24CS143</t>
  </si>
  <si>
    <t xml:space="preserve">RITENDRA YADAV</t>
  </si>
  <si>
    <t xml:space="preserve">PIET24CS161</t>
  </si>
  <si>
    <t xml:space="preserve">SHREENATH MEHTA</t>
  </si>
  <si>
    <t xml:space="preserve">PIET24CS169</t>
  </si>
  <si>
    <t xml:space="preserve">SUNIL PRAKASHCHANDRA JAT</t>
  </si>
  <si>
    <t xml:space="preserve">PIET24CS141</t>
  </si>
  <si>
    <t xml:space="preserve">RISHABH SINGHAL</t>
  </si>
  <si>
    <t xml:space="preserve">PIET24CS137</t>
  </si>
  <si>
    <t xml:space="preserve">PUNIT</t>
  </si>
  <si>
    <t xml:space="preserve">PIET24CS166</t>
  </si>
  <si>
    <t xml:space="preserve">SIDDHARTH SINGH</t>
  </si>
  <si>
    <t xml:space="preserve">PIET24CS168</t>
  </si>
  <si>
    <t xml:space="preserve">SNEH JOSHI</t>
  </si>
  <si>
    <t xml:space="preserve">PIET24CS174</t>
  </si>
  <si>
    <t xml:space="preserve">TEENA AGARWAL</t>
  </si>
  <si>
    <t xml:space="preserve">PIET24CR028</t>
  </si>
  <si>
    <t xml:space="preserve">SYED SAIF SIKANDER</t>
  </si>
  <si>
    <t xml:space="preserve">PIET24CR025</t>
  </si>
  <si>
    <t xml:space="preserve">RAKESH NATH</t>
  </si>
  <si>
    <t xml:space="preserve">PIET24CR022</t>
  </si>
  <si>
    <t xml:space="preserve">NITIN KUMAR SHARMA</t>
  </si>
  <si>
    <t xml:space="preserve">Notes</t>
  </si>
  <si>
    <t xml:space="preserve">• RTU eligibility: 75% attendance is required for examination eligibility. Students below 30% are flagged as at risk of debarment and need immediate counselling with parental intimation.</t>
  </si>
  <si>
    <t xml:space="preserve">• Assignments are counted only for students at 55% or more (Department rule). For the student-wise list, filter column K on the 'Full Report' tab.</t>
  </si>
  <si>
    <t xml:space="preserve">• DECA/SODECA attendance component = 20 marks (Theory 10 + Practical 10): full marks at 75% and above, proportional below 75% (SODECA scheme, III Year). Theory and Practical are taken at the same overall attendance % here.</t>
  </si>
  <si>
    <t xml:space="preserve">• The 13 Nov figures are the best case — they assume 100% attendance from 8 Oct and an estimated 113 periods remaining; the estimate is documented in the assumptions above.</t>
  </si>
  <si>
    <t xml:space="preserve">Department of Computer Engineering, PIET Jaipur</t>
  </si>
  <si>
    <t xml:space="preserve">B.Tech V Semester — Student-wise Status: RTU Eligibility, Assignments, DECA/SODECA Marks and Scope for Improvement</t>
  </si>
  <si>
    <t xml:space="preserve">Attendance as on 7 Oct 2026 (Digital Campus), rounded to a whole % as displayed there. DECA/SODECA attendance marks: 20/20 at 75%+, otherwise proportional (attendance ÷ 75% × 10 for Theory and for Practical). '13 Nov' columns assume the student attends every remaining class from 8 Oct. 'Classes to attend' in red = more than the periods left, so that level can no longer be reached. Filter column J = YES for the debar list and column K = Not Counted for the assignments list. Criteria are on the Summary tab.</t>
  </si>
  <si>
    <t xml:space="preserve">Present
(7 Oct)</t>
  </si>
  <si>
    <t xml:space="preserve">Absent
(7 Oct)</t>
  </si>
  <si>
    <t xml:space="preserve">Total
Periods</t>
  </si>
  <si>
    <t xml:space="preserve">RTU 75%
Eligibility</t>
  </si>
  <si>
    <t xml:space="preserve">Assignments
(55%+)</t>
  </si>
  <si>
    <t xml:space="preserve">DECA/SODECA
Attendance
Marks (/20)</t>
  </si>
  <si>
    <t xml:space="preserve">Marks
Lost
Today</t>
  </si>
  <si>
    <t xml:space="preserve">Category
Today</t>
  </si>
  <si>
    <t xml:space="preserve">Attendance on
13 Nov (if attends
every class)</t>
  </si>
  <si>
    <t xml:space="preserve">DECA/SODECA
on 13 Nov
(/20)</t>
  </si>
  <si>
    <t xml:space="preserve">Marks
Recoverable</t>
  </si>
  <si>
    <t xml:space="preserve">Category
on 13 Nov</t>
  </si>
  <si>
    <t xml:space="preserve">Classes to Attend
for 75% on 13 Nov</t>
  </si>
  <si>
    <t xml:space="preserve">Classes to Attend
for 55% on 13 Nov</t>
  </si>
  <si>
    <t xml:space="preserve">Classes to Attend
to Cross 30%</t>
  </si>
  <si>
    <t xml:space="preserve">PIET24AD011</t>
  </si>
  <si>
    <t xml:space="preserve">ARPIT KUMAR PANCHAL</t>
  </si>
  <si>
    <t xml:space="preserve">PIET24CS001</t>
  </si>
  <si>
    <t xml:space="preserve">AAKRITI GUPTA</t>
  </si>
  <si>
    <t xml:space="preserve">PIET24CS002</t>
  </si>
  <si>
    <t xml:space="preserve">AARYA VIJAY</t>
  </si>
  <si>
    <t xml:space="preserve">PIET24CS003</t>
  </si>
  <si>
    <t xml:space="preserve">AAYUSHMAAN SINGH CHAUHAN</t>
  </si>
  <si>
    <t xml:space="preserve">PIET24CS004</t>
  </si>
  <si>
    <t xml:space="preserve">ABHAY RAJ SINGH</t>
  </si>
  <si>
    <t xml:space="preserve">PIET24CS005</t>
  </si>
  <si>
    <t xml:space="preserve">ABHINAV CHOUDHARY</t>
  </si>
  <si>
    <t xml:space="preserve">PIET24CS006</t>
  </si>
  <si>
    <t xml:space="preserve">ABHINAV RAO</t>
  </si>
  <si>
    <t xml:space="preserve">PIET24CS007</t>
  </si>
  <si>
    <t xml:space="preserve">ADAVATIYA DEVANSH</t>
  </si>
  <si>
    <t xml:space="preserve">PIET24CS008</t>
  </si>
  <si>
    <t xml:space="preserve">ADITYA CHOUDHARY</t>
  </si>
  <si>
    <t xml:space="preserve">PIET24CS009</t>
  </si>
  <si>
    <t xml:space="preserve">ADITYA SHARMA</t>
  </si>
  <si>
    <t xml:space="preserve">PIET24CS011</t>
  </si>
  <si>
    <t xml:space="preserve">AKHILESH SHARMA</t>
  </si>
  <si>
    <t xml:space="preserve">PIET24CS012</t>
  </si>
  <si>
    <t xml:space="preserve">AKSHAT JAIN</t>
  </si>
  <si>
    <t xml:space="preserve">PIET24CS013</t>
  </si>
  <si>
    <t xml:space="preserve">AKSHAT VARSHNEY</t>
  </si>
  <si>
    <t xml:space="preserve">PIET24CS014</t>
  </si>
  <si>
    <t xml:space="preserve">AKSHAY VIJAYVARGIYA</t>
  </si>
  <si>
    <t xml:space="preserve">PIET24CS016</t>
  </si>
  <si>
    <t xml:space="preserve">AMAN</t>
  </si>
  <si>
    <t xml:space="preserve">PIET24CS017</t>
  </si>
  <si>
    <t xml:space="preserve">ANJALI KANWAR</t>
  </si>
  <si>
    <t xml:space="preserve">PIET24CS018</t>
  </si>
  <si>
    <t xml:space="preserve">ANJALI RAMANI</t>
  </si>
  <si>
    <t xml:space="preserve">PIET24CS019</t>
  </si>
  <si>
    <t xml:space="preserve">ANKIT RAO</t>
  </si>
  <si>
    <t xml:space="preserve">PIET24CS021</t>
  </si>
  <si>
    <t xml:space="preserve">ANKIT SINGH TANWAR</t>
  </si>
  <si>
    <t xml:space="preserve">PIET24CS022</t>
  </si>
  <si>
    <t xml:space="preserve">ANKIT YADAV</t>
  </si>
  <si>
    <t xml:space="preserve">PIET24CS023</t>
  </si>
  <si>
    <t xml:space="preserve">ANMOL SUROLIA</t>
  </si>
  <si>
    <t xml:space="preserve">PIET24CS025</t>
  </si>
  <si>
    <t xml:space="preserve">ANUBHAV CHHIPA</t>
  </si>
  <si>
    <t xml:space="preserve">PIET24CS026</t>
  </si>
  <si>
    <t xml:space="preserve">ANURADHA VAISHNAV</t>
  </si>
  <si>
    <t xml:space="preserve">PIET24CS029</t>
  </si>
  <si>
    <t xml:space="preserve">ASHI KHANDELWAL</t>
  </si>
  <si>
    <t xml:space="preserve">PIET24CS030</t>
  </si>
  <si>
    <t xml:space="preserve">ASHISH GUPTA</t>
  </si>
  <si>
    <t xml:space="preserve">PIET24CS031</t>
  </si>
  <si>
    <t xml:space="preserve">ASHISH KUMAWAT</t>
  </si>
  <si>
    <t xml:space="preserve">PIET24CS032</t>
  </si>
  <si>
    <t xml:space="preserve">ATUL KUMAR</t>
  </si>
  <si>
    <t xml:space="preserve">PIET24CS033</t>
  </si>
  <si>
    <t xml:space="preserve">AYUSH KUMAR JAIN</t>
  </si>
  <si>
    <t xml:space="preserve">PIET24CS034</t>
  </si>
  <si>
    <t xml:space="preserve">AYUSHI BHARDWAJ</t>
  </si>
  <si>
    <t xml:space="preserve">PIET24CS035</t>
  </si>
  <si>
    <t xml:space="preserve">BABU LAL SINWAR</t>
  </si>
  <si>
    <t xml:space="preserve">PIET24CS036</t>
  </si>
  <si>
    <t xml:space="preserve">BHAGIRATH SHARMA</t>
  </si>
  <si>
    <t xml:space="preserve">PIET24CS037</t>
  </si>
  <si>
    <t xml:space="preserve">BHUMIKA SHARMA</t>
  </si>
  <si>
    <t xml:space="preserve">PIET24CS038</t>
  </si>
  <si>
    <t xml:space="preserve">BHUPENDRA SINGH</t>
  </si>
  <si>
    <t xml:space="preserve">PIET24CS039</t>
  </si>
  <si>
    <t xml:space="preserve">DAKSH JAIN</t>
  </si>
  <si>
    <t xml:space="preserve">PIET24CS041</t>
  </si>
  <si>
    <t xml:space="preserve">DEEPAK KUMAR SAHU</t>
  </si>
  <si>
    <t xml:space="preserve">PIET24CS043</t>
  </si>
  <si>
    <t xml:space="preserve">DEVANSH TIWARI</t>
  </si>
  <si>
    <t xml:space="preserve">PIET24CS044</t>
  </si>
  <si>
    <t xml:space="preserve">DEVENDRA SAINI</t>
  </si>
  <si>
    <t xml:space="preserve">PIET24CS046</t>
  </si>
  <si>
    <t xml:space="preserve">DHAIRYA JAIN</t>
  </si>
  <si>
    <t xml:space="preserve">PIET24CS048</t>
  </si>
  <si>
    <t xml:space="preserve">DIVYANSH SAINI</t>
  </si>
  <si>
    <t xml:space="preserve">PIET24CS049</t>
  </si>
  <si>
    <t xml:space="preserve">DIVYANSHI LOHAR</t>
  </si>
  <si>
    <t xml:space="preserve">PIET24CS050</t>
  </si>
  <si>
    <t xml:space="preserve">DIVYANSHU SHROTRIYA</t>
  </si>
  <si>
    <t xml:space="preserve">PIET24CS052</t>
  </si>
  <si>
    <t xml:space="preserve">GARVIT KULHARI</t>
  </si>
  <si>
    <t xml:space="preserve">PIET24CS053</t>
  </si>
  <si>
    <t xml:space="preserve">GARVIT SINGH RAJPUT</t>
  </si>
  <si>
    <t xml:space="preserve">PIET24CS054</t>
  </si>
  <si>
    <t xml:space="preserve">GAURAV TANEJA</t>
  </si>
  <si>
    <t xml:space="preserve">PIET24CS055</t>
  </si>
  <si>
    <t xml:space="preserve">GIRIRAJ SINGH RATHORE</t>
  </si>
  <si>
    <t xml:space="preserve">PIET24CS057</t>
  </si>
  <si>
    <t xml:space="preserve">GOVIND KUMAWAT</t>
  </si>
  <si>
    <t xml:space="preserve">PIET24CS058</t>
  </si>
  <si>
    <t xml:space="preserve">HARSH PAREEK</t>
  </si>
  <si>
    <t xml:space="preserve">PIET24CS059</t>
  </si>
  <si>
    <t xml:space="preserve">HARSHIT BHUKAR</t>
  </si>
  <si>
    <t xml:space="preserve">PIET24CS060</t>
  </si>
  <si>
    <t xml:space="preserve">HARSHVARDHAN MEHTA</t>
  </si>
  <si>
    <t xml:space="preserve">PIET24CS061</t>
  </si>
  <si>
    <t xml:space="preserve">HARSHVARDHAN PRAJAPAT</t>
  </si>
  <si>
    <t xml:space="preserve">PIET24CS063</t>
  </si>
  <si>
    <t xml:space="preserve">HIMANSHU</t>
  </si>
  <si>
    <t xml:space="preserve">PIET25CS801</t>
  </si>
  <si>
    <t xml:space="preserve">PRIYANSHU PRAJAPATI</t>
  </si>
  <si>
    <t xml:space="preserve">PIET24AD063</t>
  </si>
  <si>
    <t xml:space="preserve">AVIKA AGAL</t>
  </si>
  <si>
    <t xml:space="preserve">PIET24CS064</t>
  </si>
  <si>
    <t xml:space="preserve">HIMANSHU MUDGAL</t>
  </si>
  <si>
    <t xml:space="preserve">PIET24CS065</t>
  </si>
  <si>
    <t xml:space="preserve">HIMMAT SINGH</t>
  </si>
  <si>
    <t xml:space="preserve">PIET24CS066</t>
  </si>
  <si>
    <t xml:space="preserve">HITESH KUMAWAT</t>
  </si>
  <si>
    <t xml:space="preserve">PIET24CS068</t>
  </si>
  <si>
    <t xml:space="preserve">JATIN DIDWANIA</t>
  </si>
  <si>
    <t xml:space="preserve">PIET24CS069</t>
  </si>
  <si>
    <t xml:space="preserve">JATIN UPADHYAY</t>
  </si>
  <si>
    <t xml:space="preserve">PIET24CS070</t>
  </si>
  <si>
    <t xml:space="preserve">KANISHK BALWANI</t>
  </si>
  <si>
    <t xml:space="preserve">PIET24CS071</t>
  </si>
  <si>
    <t xml:space="preserve">KAPISH NAIN</t>
  </si>
  <si>
    <t xml:space="preserve">PIET24CS072</t>
  </si>
  <si>
    <t xml:space="preserve">KARINA SHAHI</t>
  </si>
  <si>
    <t xml:space="preserve">PIET24CS073</t>
  </si>
  <si>
    <t xml:space="preserve">KARTIK DADHICH</t>
  </si>
  <si>
    <t xml:space="preserve">PIET24CS074</t>
  </si>
  <si>
    <t xml:space="preserve">KARTIK GOYAL</t>
  </si>
  <si>
    <t xml:space="preserve">PIET24CS075</t>
  </si>
  <si>
    <t xml:space="preserve">KARTIK MATHUR</t>
  </si>
  <si>
    <t xml:space="preserve">PIET24CS076</t>
  </si>
  <si>
    <t xml:space="preserve">KASHISH GERA</t>
  </si>
  <si>
    <t xml:space="preserve">PIET24CS077</t>
  </si>
  <si>
    <t xml:space="preserve">KAUSTUBH SHARMA</t>
  </si>
  <si>
    <t xml:space="preserve">PIET24CS078</t>
  </si>
  <si>
    <t xml:space="preserve">KHUSHAL SHARMA</t>
  </si>
  <si>
    <t xml:space="preserve">PIET24CS079</t>
  </si>
  <si>
    <t xml:space="preserve">KISHAN VAISHANAV</t>
  </si>
  <si>
    <t xml:space="preserve">PIET24CS080</t>
  </si>
  <si>
    <t xml:space="preserve">KRATI SAINI</t>
  </si>
  <si>
    <t xml:space="preserve">PIET24CS081</t>
  </si>
  <si>
    <t xml:space="preserve">KRISH SHARMA</t>
  </si>
  <si>
    <t xml:space="preserve">PIET24CS082</t>
  </si>
  <si>
    <t xml:space="preserve">KRISHAN KANT JANGID</t>
  </si>
  <si>
    <t xml:space="preserve">PIET24CS083</t>
  </si>
  <si>
    <t xml:space="preserve">KRISHAN KUMAR SHARMA</t>
  </si>
  <si>
    <t xml:space="preserve">PIET24CS084</t>
  </si>
  <si>
    <t xml:space="preserve">KRISHNA SHARMA</t>
  </si>
  <si>
    <t xml:space="preserve">PIET24CS085</t>
  </si>
  <si>
    <t xml:space="preserve">KULDEEP JAIN</t>
  </si>
  <si>
    <t xml:space="preserve">PIET24CS086</t>
  </si>
  <si>
    <t xml:space="preserve">KUNAL GUPTA</t>
  </si>
  <si>
    <t xml:space="preserve">PIET24CS087</t>
  </si>
  <si>
    <t xml:space="preserve">KUNAL KUMAWAT</t>
  </si>
  <si>
    <t xml:space="preserve">PIET24CS088</t>
  </si>
  <si>
    <t xml:space="preserve">KUSHAL AGRAWAL</t>
  </si>
  <si>
    <t xml:space="preserve">PIET24CS089</t>
  </si>
  <si>
    <t xml:space="preserve">LAKSHAY AGARWAL</t>
  </si>
  <si>
    <t xml:space="preserve">PIET24CS090</t>
  </si>
  <si>
    <t xml:space="preserve">LAV KUSH GARG</t>
  </si>
  <si>
    <t xml:space="preserve">PIET24CS091</t>
  </si>
  <si>
    <t xml:space="preserve">LAXITA PAREEK</t>
  </si>
  <si>
    <t xml:space="preserve">PIET24CS092</t>
  </si>
  <si>
    <t xml:space="preserve">LOKESH KUMAR SAINI</t>
  </si>
  <si>
    <t xml:space="preserve">PIET24CS093</t>
  </si>
  <si>
    <t xml:space="preserve">LUBHANSHU JAIN</t>
  </si>
  <si>
    <t xml:space="preserve">PIET24CS094</t>
  </si>
  <si>
    <t xml:space="preserve">LUCKY DOKANIA</t>
  </si>
  <si>
    <t xml:space="preserve">PIET24CS095</t>
  </si>
  <si>
    <t xml:space="preserve">MADHUR PAREWA</t>
  </si>
  <si>
    <t xml:space="preserve">PIET24CS096</t>
  </si>
  <si>
    <t xml:space="preserve">MAHUL VIJAY</t>
  </si>
  <si>
    <t xml:space="preserve">PIET24CS097</t>
  </si>
  <si>
    <t xml:space="preserve">MAITRI MEHTA</t>
  </si>
  <si>
    <t xml:space="preserve">PIET24CS098</t>
  </si>
  <si>
    <t xml:space="preserve">MANAS BHATT</t>
  </si>
  <si>
    <t xml:space="preserve">PIET24CS099</t>
  </si>
  <si>
    <t xml:space="preserve">MANISH JANGID</t>
  </si>
  <si>
    <t xml:space="preserve">PIET24CS100</t>
  </si>
  <si>
    <t xml:space="preserve">MANSI DADHICH</t>
  </si>
  <si>
    <t xml:space="preserve">PIET24CS101</t>
  </si>
  <si>
    <t xml:space="preserve">MAYANK PATHAK</t>
  </si>
  <si>
    <t xml:space="preserve">PIET24CS102</t>
  </si>
  <si>
    <t xml:space="preserve">MEENAL GOSWAMI</t>
  </si>
  <si>
    <t xml:space="preserve">PIET24CS104</t>
  </si>
  <si>
    <t xml:space="preserve">MOHIT KUMAWAT</t>
  </si>
  <si>
    <t xml:space="preserve">PIET24CS105</t>
  </si>
  <si>
    <t xml:space="preserve">MOHMMAD DANISH</t>
  </si>
  <si>
    <t xml:space="preserve">PIET24CS106</t>
  </si>
  <si>
    <t xml:space="preserve">MRIDUL GOYAL</t>
  </si>
  <si>
    <t xml:space="preserve">PIET24CS107</t>
  </si>
  <si>
    <t xml:space="preserve">MUSKAN SAINI</t>
  </si>
  <si>
    <t xml:space="preserve">PIET24CS108</t>
  </si>
  <si>
    <t xml:space="preserve">NAITIK JAIN</t>
  </si>
  <si>
    <t xml:space="preserve">PIET24CS110</t>
  </si>
  <si>
    <t xml:space="preserve">NARENDRA CHHIPA</t>
  </si>
  <si>
    <t xml:space="preserve">PIET24CS111</t>
  </si>
  <si>
    <t xml:space="preserve">NAV PARIKH</t>
  </si>
  <si>
    <t xml:space="preserve">PIET24CS112</t>
  </si>
  <si>
    <t xml:space="preserve">NEELANSHI JAIMINI</t>
  </si>
  <si>
    <t xml:space="preserve">PIET24CS113</t>
  </si>
  <si>
    <t xml:space="preserve">NEHA YADAV</t>
  </si>
  <si>
    <t xml:space="preserve">PIET24CS114</t>
  </si>
  <si>
    <t xml:space="preserve">NIDA KHAN</t>
  </si>
  <si>
    <t xml:space="preserve">PIET24CS115</t>
  </si>
  <si>
    <t xml:space="preserve">NIKHIL SAHU</t>
  </si>
  <si>
    <t xml:space="preserve">PIET24CS116</t>
  </si>
  <si>
    <t xml:space="preserve">NIRANJAN NAGAR</t>
  </si>
  <si>
    <t xml:space="preserve">PIET24CS117</t>
  </si>
  <si>
    <t xml:space="preserve">NIRMAL YOGI</t>
  </si>
  <si>
    <t xml:space="preserve">PIET24CS118</t>
  </si>
  <si>
    <t xml:space="preserve">NITIN KUMAR PRAJAPAT</t>
  </si>
  <si>
    <t xml:space="preserve">PIET24CS119</t>
  </si>
  <si>
    <t xml:space="preserve">NITIN SHARMA</t>
  </si>
  <si>
    <t xml:space="preserve">PIET24CS120</t>
  </si>
  <si>
    <t xml:space="preserve">OJASWINI SHARMA</t>
  </si>
  <si>
    <t xml:space="preserve">PIET24CS121</t>
  </si>
  <si>
    <t xml:space="preserve">PARI SINGHAL</t>
  </si>
  <si>
    <t xml:space="preserve">PIET24CS122</t>
  </si>
  <si>
    <t xml:space="preserve">PARTH PARASHAR</t>
  </si>
  <si>
    <t xml:space="preserve">PIET24CS123</t>
  </si>
  <si>
    <t xml:space="preserve">PIYUSH BISSA</t>
  </si>
  <si>
    <t xml:space="preserve">PIET24CS124</t>
  </si>
  <si>
    <t xml:space="preserve">PIYUSH GUPTA</t>
  </si>
  <si>
    <t xml:space="preserve">PIET24CS125</t>
  </si>
  <si>
    <t xml:space="preserve">PIYUSH SINGHAL</t>
  </si>
  <si>
    <t xml:space="preserve">PIET24CS126</t>
  </si>
  <si>
    <t xml:space="preserve">POOJA DHAKAD</t>
  </si>
  <si>
    <t xml:space="preserve">PIET24CI033</t>
  </si>
  <si>
    <t xml:space="preserve">SANJANA JEEVANANI</t>
  </si>
  <si>
    <t xml:space="preserve">PIET24CR010</t>
  </si>
  <si>
    <t xml:space="preserve">CHETNA SWARNKAR</t>
  </si>
  <si>
    <t xml:space="preserve">PIET24CS128</t>
  </si>
  <si>
    <t xml:space="preserve">PRADEEP CHOUDHARY</t>
  </si>
  <si>
    <t xml:space="preserve">PIET24CS129</t>
  </si>
  <si>
    <t xml:space="preserve">PRADHUMAN SINGH</t>
  </si>
  <si>
    <t xml:space="preserve">PIET24CS130</t>
  </si>
  <si>
    <t xml:space="preserve">PRANJAL MATHUR</t>
  </si>
  <si>
    <t xml:space="preserve">PIET24CS131</t>
  </si>
  <si>
    <t xml:space="preserve">PRATISHTHA SOMANI</t>
  </si>
  <si>
    <t xml:space="preserve">PIET24CS132</t>
  </si>
  <si>
    <t xml:space="preserve">PRINCE BENIWAL</t>
  </si>
  <si>
    <t xml:space="preserve">PIET24CS133</t>
  </si>
  <si>
    <t xml:space="preserve">PRIYA ARORA</t>
  </si>
  <si>
    <t xml:space="preserve">PIET24CS134</t>
  </si>
  <si>
    <t xml:space="preserve">PRIYANKA RAHISA</t>
  </si>
  <si>
    <t xml:space="preserve">PIET24CS135</t>
  </si>
  <si>
    <t xml:space="preserve">PRIYANSH GARG</t>
  </si>
  <si>
    <t xml:space="preserve">PIET24CS136</t>
  </si>
  <si>
    <t xml:space="preserve">PRIYANSHU JANGID</t>
  </si>
  <si>
    <t xml:space="preserve">PIET24CS138</t>
  </si>
  <si>
    <t xml:space="preserve">RAJVEER CHOUDHARY</t>
  </si>
  <si>
    <t xml:space="preserve">PIET24CS139</t>
  </si>
  <si>
    <t xml:space="preserve">RAUNAK KUMAR</t>
  </si>
  <si>
    <t xml:space="preserve">PIET24CS140</t>
  </si>
  <si>
    <t xml:space="preserve">RIDDHIMA AGARWAL</t>
  </si>
  <si>
    <t xml:space="preserve">PIET24CS144</t>
  </si>
  <si>
    <t xml:space="preserve">RUDRA MISHRA</t>
  </si>
  <si>
    <t xml:space="preserve">PIET24CS145</t>
  </si>
  <si>
    <t xml:space="preserve">RUPAL BOTHRA</t>
  </si>
  <si>
    <t xml:space="preserve">PIET24CS146</t>
  </si>
  <si>
    <t xml:space="preserve">SACHIN KUSHWAHA</t>
  </si>
  <si>
    <t xml:space="preserve">PIET24CS148</t>
  </si>
  <si>
    <t xml:space="preserve">SAKSHAM TIWARI</t>
  </si>
  <si>
    <t xml:space="preserve">PIET24CS149</t>
  </si>
  <si>
    <t xml:space="preserve">SAMEER KUMAR KAMAT</t>
  </si>
  <si>
    <t xml:space="preserve">PIET24CS150</t>
  </si>
  <si>
    <t xml:space="preserve">SAMYAK JAIN</t>
  </si>
  <si>
    <t xml:space="preserve">PIET24CS151</t>
  </si>
  <si>
    <t xml:space="preserve">SANCHI SINGAL</t>
  </si>
  <si>
    <t xml:space="preserve">PIET24CS152</t>
  </si>
  <si>
    <t xml:space="preserve">SANDHYA SHARMA</t>
  </si>
  <si>
    <t xml:space="preserve">PIET24CS153</t>
  </si>
  <si>
    <t xml:space="preserve">SANVI AGARWAL</t>
  </si>
  <si>
    <t xml:space="preserve">PIET24CS154</t>
  </si>
  <si>
    <t xml:space="preserve">SHAURYA SHRIVASTAVA</t>
  </si>
  <si>
    <t xml:space="preserve">PIET24CS155</t>
  </si>
  <si>
    <t xml:space="preserve">SHELLEY SAINI</t>
  </si>
  <si>
    <t xml:space="preserve">PIET24CS156</t>
  </si>
  <si>
    <t xml:space="preserve">SHIV SINGH RAJPUROHIT</t>
  </si>
  <si>
    <t xml:space="preserve">PIET24CS157</t>
  </si>
  <si>
    <t xml:space="preserve">SHIVAM VASHISTHA</t>
  </si>
  <si>
    <t xml:space="preserve">PIET24CS160</t>
  </si>
  <si>
    <t xml:space="preserve">SHRAVIKA JAIN</t>
  </si>
  <si>
    <t xml:space="preserve">PIET24CS162</t>
  </si>
  <si>
    <t xml:space="preserve">SHRESTH SHARMA</t>
  </si>
  <si>
    <t xml:space="preserve">PIET24CS163</t>
  </si>
  <si>
    <t xml:space="preserve">SHRUSTI SHARMA</t>
  </si>
  <si>
    <t xml:space="preserve">PIET24CS164</t>
  </si>
  <si>
    <t xml:space="preserve">SHUBHAM PRATAP SINGH</t>
  </si>
  <si>
    <t xml:space="preserve">PIET24CS165</t>
  </si>
  <si>
    <t xml:space="preserve">SHUBHAM SINGH GURJAR</t>
  </si>
  <si>
    <t xml:space="preserve">PIET24CS167</t>
  </si>
  <si>
    <t xml:space="preserve">SIDDHIKA AGRAWAL</t>
  </si>
  <si>
    <t xml:space="preserve">PIET24CS170</t>
  </si>
  <si>
    <t xml:space="preserve">SURABHI SARASWAT</t>
  </si>
  <si>
    <t xml:space="preserve">PIET24CS172</t>
  </si>
  <si>
    <t xml:space="preserve">TANISHA VAISHNAV</t>
  </si>
  <si>
    <t xml:space="preserve">PIET24CS173</t>
  </si>
  <si>
    <t xml:space="preserve">TANISHKA JAIN</t>
  </si>
  <si>
    <t xml:space="preserve">PIET24CS176</t>
  </si>
  <si>
    <t xml:space="preserve">TEJENDRAPAL SINGH RATHORE</t>
  </si>
  <si>
    <t xml:space="preserve">PIET24CS177</t>
  </si>
  <si>
    <t xml:space="preserve">TUSHAR MAUKA</t>
  </si>
  <si>
    <t xml:space="preserve">PIET24CS178</t>
  </si>
  <si>
    <t xml:space="preserve">UDIT KHATRI</t>
  </si>
  <si>
    <t xml:space="preserve">PIET24CS179</t>
  </si>
  <si>
    <t xml:space="preserve">VAISHALI SHARMA</t>
  </si>
  <si>
    <t xml:space="preserve">PIET24CS180</t>
  </si>
  <si>
    <t xml:space="preserve">VANSH SHARMA</t>
  </si>
  <si>
    <t xml:space="preserve">PIET24CS181</t>
  </si>
  <si>
    <t xml:space="preserve">VED DANDOTIA</t>
  </si>
  <si>
    <t xml:space="preserve">PIET24CS182</t>
  </si>
  <si>
    <t xml:space="preserve">VEDANG SAIN</t>
  </si>
  <si>
    <t xml:space="preserve">PIET24CS183</t>
  </si>
  <si>
    <t xml:space="preserve">VEDANT SHARMA</t>
  </si>
  <si>
    <t xml:space="preserve">PIET24CS184</t>
  </si>
  <si>
    <t xml:space="preserve">VIBHOR MATHUR</t>
  </si>
  <si>
    <t xml:space="preserve">PIET24CS185</t>
  </si>
  <si>
    <t xml:space="preserve">VISHAKHA GORANI</t>
  </si>
  <si>
    <t xml:space="preserve">PIET24CS187</t>
  </si>
  <si>
    <t xml:space="preserve">YASH WARDHAN SHARMA</t>
  </si>
  <si>
    <t xml:space="preserve">PIET24CS189</t>
  </si>
  <si>
    <t xml:space="preserve">YOGENDRA SINGH RATHORE</t>
  </si>
  <si>
    <t xml:space="preserve">PIET24CS190</t>
  </si>
  <si>
    <t xml:space="preserve">NAMAN JAIN</t>
  </si>
  <si>
    <t xml:space="preserve">PIET24CR002</t>
  </si>
  <si>
    <t xml:space="preserve">ADARSH KUMAR</t>
  </si>
  <si>
    <t xml:space="preserve">PIET24CR003</t>
  </si>
  <si>
    <t xml:space="preserve">AKSHAY PAREEK</t>
  </si>
  <si>
    <t xml:space="preserve">PIET24CR005</t>
  </si>
  <si>
    <t xml:space="preserve">ANIL GADRI</t>
  </si>
  <si>
    <t xml:space="preserve">PIET24CR007</t>
  </si>
  <si>
    <t xml:space="preserve">ARPITA JAIN</t>
  </si>
  <si>
    <t xml:space="preserve">PIET24CR009</t>
  </si>
  <si>
    <t xml:space="preserve">CHETAN KUMAR MANGAL</t>
  </si>
  <si>
    <t xml:space="preserve">PIET24CR011</t>
  </si>
  <si>
    <t xml:space="preserve">DHRUV PARMAR</t>
  </si>
  <si>
    <t xml:space="preserve">PIET24CR012</t>
  </si>
  <si>
    <t xml:space="preserve">GOPAL GADRI</t>
  </si>
  <si>
    <t xml:space="preserve">PIET24CR013</t>
  </si>
  <si>
    <t xml:space="preserve">HIMANSHU GAUD</t>
  </si>
  <si>
    <t xml:space="preserve">PIET24CR014</t>
  </si>
  <si>
    <t xml:space="preserve">HIMANSHU LUHAR</t>
  </si>
  <si>
    <t xml:space="preserve">PIET24CR016</t>
  </si>
  <si>
    <t xml:space="preserve">JYOTI SHARMA</t>
  </si>
  <si>
    <t xml:space="preserve">PIET24CR017</t>
  </si>
  <si>
    <t xml:space="preserve">KEVA RAM</t>
  </si>
  <si>
    <t xml:space="preserve">PIET24CR018</t>
  </si>
  <si>
    <t xml:space="preserve">MAHIPAL SINGH</t>
  </si>
  <si>
    <t xml:space="preserve">PIET24CR019</t>
  </si>
  <si>
    <t xml:space="preserve">MAYANK SARASWAT</t>
  </si>
  <si>
    <t xml:space="preserve">PIET24CR020</t>
  </si>
  <si>
    <t xml:space="preserve">NAVYA JAIN</t>
  </si>
  <si>
    <t xml:space="preserve">PIET24CR021</t>
  </si>
  <si>
    <t xml:space="preserve">NIKHIL JETHANI</t>
  </si>
  <si>
    <t xml:space="preserve">PIET24CR023</t>
  </si>
  <si>
    <t xml:space="preserve">PRIYANSHU SHARMA</t>
  </si>
  <si>
    <t xml:space="preserve">PIET24CR026</t>
  </si>
  <si>
    <t xml:space="preserve">RISHABH KUMAR</t>
  </si>
  <si>
    <t xml:space="preserve">PIET24CR029</t>
  </si>
  <si>
    <t xml:space="preserve">TANISHKA SHARMA</t>
  </si>
  <si>
    <t xml:space="preserve">PIET24CR030</t>
  </si>
  <si>
    <t xml:space="preserve">VERSHA GOYAL</t>
  </si>
  <si>
    <t xml:space="preserve">PIET24CR031</t>
  </si>
  <si>
    <t xml:space="preserve">VINAY PRATAP</t>
  </si>
  <si>
    <t xml:space="preserve">PIET24CR032</t>
  </si>
  <si>
    <t xml:space="preserve">VIVEK SINGH BHADOURIYA</t>
  </si>
  <si>
    <t xml:space="preserve">PIET24CR033</t>
  </si>
  <si>
    <t xml:space="preserve">YUVANSH SAINI</t>
  </si>
  <si>
    <t xml:space="preserve">PIET24CR034</t>
  </si>
  <si>
    <t xml:space="preserve">DIYA AGNIHOTRI</t>
  </si>
  <si>
    <t xml:space="preserve">PIET24CR035</t>
  </si>
  <si>
    <t xml:space="preserve">JIYA AGNIHOTRI</t>
  </si>
  <si>
    <t xml:space="preserve">PIET24CR036</t>
  </si>
  <si>
    <t xml:space="preserve">KULDEEP NAGAR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</si>
</sst>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%"/>
    <numFmt numFmtId="166" formatCode="dd\-mmm\-yyyy"/>
    <numFmt numFmtId="167" formatCode="0"/>
    <numFmt numFmtId="168" formatCode="0.00"/>
    <numFmt numFmtId="169" formatCode="0.0%"/>
    <numFmt numFmtId="170" formatCode="General"/>
    <numFmt numFmtId="171" formatCode="0.0"/>
    <numFmt numFmtId="172" formatCode="\+0;\-0;0"/>
    <numFmt numFmtId="173" formatCode="0.0;\-0.0;\—"/>
    <numFmt numFmtId="174" formatCode="\+0.0;\-0.0;\—"/>
    <numFmt numFmtId="175" formatCode="0;\-0;\—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Times New Roman"/>
      <family val="0"/>
      <charset val="1"/>
    </font>
    <font>
      <b val="true"/>
      <sz val="12"/>
      <color rgb="FF1F3864"/>
      <name val="Times New Roman"/>
      <family val="0"/>
      <charset val="1"/>
    </font>
    <font>
      <i val="true"/>
      <sz val="9"/>
      <color rgb="FF666666"/>
      <name val="Times New Roman"/>
      <family val="0"/>
      <charset val="1"/>
    </font>
    <font>
      <b val="true"/>
      <sz val="10.5"/>
      <color rgb="FF1F3864"/>
      <name val="Times New Roman"/>
      <family val="0"/>
      <charset val="1"/>
    </font>
    <font>
      <sz val="9.5"/>
      <name val="Times New Roman"/>
      <family val="0"/>
      <charset val="1"/>
    </font>
    <font>
      <b val="true"/>
      <sz val="10"/>
      <color rgb="FF0000FF"/>
      <name val="Times New Roman"/>
      <family val="0"/>
      <charset val="1"/>
    </font>
    <font>
      <b val="true"/>
      <sz val="10"/>
      <name val="Times New Roman"/>
      <family val="0"/>
      <charset val="1"/>
    </font>
    <font>
      <b val="true"/>
      <sz val="9.5"/>
      <color rgb="FFFFFFFF"/>
      <name val="Times New Roman"/>
      <family val="0"/>
      <charset val="1"/>
    </font>
    <font>
      <sz val="10"/>
      <name val="Times New Roman"/>
      <family val="0"/>
      <charset val="1"/>
    </font>
    <font>
      <b val="true"/>
      <sz val="10"/>
      <color rgb="FF1F3864"/>
      <name val="Times New Roman"/>
      <family val="0"/>
      <charset val="1"/>
    </font>
    <font>
      <i val="true"/>
      <sz val="9.5"/>
      <color rgb="FF444444"/>
      <name val="Times New Roman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99"/>
      </patternFill>
    </fill>
    <fill>
      <patternFill patternType="solid">
        <fgColor rgb="FFC6EFCE"/>
        <bgColor rgb="FFD9E2F3"/>
      </patternFill>
    </fill>
    <fill>
      <patternFill patternType="solid">
        <fgColor rgb="FFFF8080"/>
        <bgColor rgb="FFFF99CC"/>
      </patternFill>
    </fill>
    <fill>
      <patternFill patternType="solid">
        <fgColor rgb="FFFFC7CE"/>
        <bgColor rgb="FFD9E2F3"/>
      </patternFill>
    </fill>
    <fill>
      <patternFill patternType="solid">
        <fgColor rgb="FFD9E2F3"/>
        <bgColor rgb="FFC6EFCE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E"/>
      </left>
      <right style="thin">
        <color rgb="FFB7C6DE"/>
      </right>
      <top style="thin">
        <color rgb="FFB7C6DE"/>
      </top>
      <bottom style="thin">
        <color rgb="FFB7C6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C6EFCE"/>
        </patternFill>
      </fill>
    </dxf>
    <dxf>
      <font>
        <name val="Times New Roman"/>
        <charset val="1"/>
        <family val="0"/>
        <b val="1"/>
      </font>
      <fill>
        <patternFill>
          <bgColor rgb="FFFF808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808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8080"/>
        </patternFill>
      </fill>
    </dxf>
    <dxf>
      <font>
        <name val="Times New Roman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C6DE"/>
      <rgbColor rgb="FF808080"/>
      <rgbColor rgb="FF9999FF"/>
      <rgbColor rgb="FF993366"/>
      <rgbColor rgb="FFFFF2CC"/>
      <rgbColor rgb="FFF2F6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11" min="9" style="0" width="13"/>
    <col collapsed="false" customWidth="true" hidden="false" outlineLevel="0" max="12" min="12" style="0" width="12"/>
  </cols>
  <sheetData>
    <row r="1" customFormat="false" ht="16.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1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15" hidden="false" customHeight="false" outlineLevel="0" collapsed="false">
      <c r="A5" s="4" t="s">
        <v>3</v>
      </c>
    </row>
    <row r="6" customFormat="false" ht="24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6" t="n">
        <v>0.75</v>
      </c>
    </row>
    <row r="7" customFormat="false" ht="24" hidden="false" customHeight="true" outlineLevel="0" collapsed="false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6" t="n">
        <v>0.55</v>
      </c>
    </row>
    <row r="8" customFormat="false" ht="24" hidden="false" customHeight="true" outlineLevel="0" collapsed="false">
      <c r="A8" s="5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6" t="n">
        <v>0.3</v>
      </c>
    </row>
    <row r="9" customFormat="false" ht="24" hidden="false" customHeight="true" outlineLevel="0" collapsed="false">
      <c r="A9" s="5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7" t="n">
        <v>46302</v>
      </c>
    </row>
    <row r="10" customFormat="false" ht="24" hidden="false" customHeight="true" outlineLevel="0" collapsed="false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7" t="n">
        <v>46339</v>
      </c>
    </row>
    <row r="11" customFormat="false" ht="24" hidden="false" customHeight="true" outlineLevel="0" collapsed="false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8" t="n">
        <v>21</v>
      </c>
    </row>
    <row r="12" customFormat="false" ht="24" hidden="false" customHeight="true" outlineLevel="0" collapsed="false">
      <c r="A12" s="5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9" t="n">
        <v>5.39</v>
      </c>
    </row>
    <row r="13" customFormat="false" ht="24" hidden="false" customHeight="true" outlineLevel="0" collapsed="false">
      <c r="A13" s="5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10" t="n">
        <f aca="false">ROUND($L$11*$L$12,0)</f>
        <v>113</v>
      </c>
    </row>
    <row r="15" customFormat="false" ht="15" hidden="false" customHeight="false" outlineLevel="0" collapsed="false">
      <c r="A15" s="4" t="s">
        <v>12</v>
      </c>
    </row>
    <row r="16" customFormat="false" ht="48" hidden="false" customHeight="true" outlineLevel="0" collapsed="false">
      <c r="A16" s="11" t="s">
        <v>13</v>
      </c>
      <c r="B16" s="11" t="s">
        <v>14</v>
      </c>
      <c r="C16" s="11" t="s">
        <v>15</v>
      </c>
      <c r="D16" s="11" t="s">
        <v>16</v>
      </c>
      <c r="E16" s="11" t="s">
        <v>17</v>
      </c>
      <c r="F16" s="11" t="s">
        <v>18</v>
      </c>
      <c r="G16" s="11" t="s">
        <v>19</v>
      </c>
      <c r="H16" s="11" t="s">
        <v>20</v>
      </c>
      <c r="I16" s="11" t="s">
        <v>21</v>
      </c>
      <c r="J16" s="11" t="s">
        <v>22</v>
      </c>
      <c r="K16" s="11" t="s">
        <v>23</v>
      </c>
      <c r="L16" s="11" t="s">
        <v>24</v>
      </c>
    </row>
    <row r="17" customFormat="false" ht="15" hidden="false" customHeight="false" outlineLevel="0" collapsed="false">
      <c r="A17" s="12" t="s">
        <v>25</v>
      </c>
      <c r="B17" s="12" t="n">
        <f aca="false">COUNTIF('Full Report'!$B$6:$B$218,"5CS-A")</f>
        <v>61</v>
      </c>
      <c r="C17" s="13" t="n">
        <f aca="false">AVERAGEIF('Full Report'!$B$6:$B$218,"5CS-A",'Full Report'!$H$6:$H$218)</f>
        <v>0.612459016393443</v>
      </c>
      <c r="D17" s="14" t="n">
        <f aca="false">COUNTIFS('Full Report'!$B$6:$B$218,"5CS-A",'Full Report'!$H$6:$H$218,"&gt;="&amp;Summary!$L$6)</f>
        <v>20</v>
      </c>
      <c r="E17" s="13" t="n">
        <f aca="false">IF(B17=0,"",D17/B17)</f>
        <v>0.327868852459016</v>
      </c>
      <c r="F17" s="12" t="n">
        <f aca="false">B17-D17</f>
        <v>41</v>
      </c>
      <c r="G17" s="15" t="n">
        <f aca="false">COUNTIFS('Full Report'!$B$6:$B$218,"5CS-A",'Full Report'!$H$6:$H$218,"&lt;"&amp;Summary!$L$8)</f>
        <v>9</v>
      </c>
      <c r="H17" s="12" t="n">
        <f aca="false">COUNTIFS('Full Report'!$B$6:$B$218,"5CS-A",'Full Report'!$H$6:$H$218,"&gt;="&amp;Summary!$L$7)</f>
        <v>45</v>
      </c>
      <c r="I17" s="16" t="n">
        <f aca="false">B17-H17</f>
        <v>16</v>
      </c>
      <c r="J17" s="17" t="n">
        <f aca="false">AVERAGEIF('Full Report'!$B$6:$B$218,"5CS-A",'Full Report'!$L$6:$L$218)</f>
        <v>15.872131147541</v>
      </c>
      <c r="K17" s="12" t="n">
        <f aca="false">COUNTIFS('Full Report'!$B$6:$B$218,"5CS-A",'Full Report'!$L$6:$L$218,"&gt;=20")</f>
        <v>20</v>
      </c>
      <c r="L17" s="17" t="n">
        <f aca="false">SUMIF('Full Report'!$B$6:$B$218,"5CS-A",'Full Report'!$M$6:$M$218)</f>
        <v>251.8</v>
      </c>
    </row>
    <row r="18" customFormat="false" ht="15" hidden="false" customHeight="false" outlineLevel="0" collapsed="false">
      <c r="A18" s="12" t="s">
        <v>26</v>
      </c>
      <c r="B18" s="12" t="n">
        <f aca="false">COUNTIF('Full Report'!$B$6:$B$218,"5CS-B")</f>
        <v>62</v>
      </c>
      <c r="C18" s="13" t="n">
        <f aca="false">AVERAGEIF('Full Report'!$B$6:$B$218,"5CS-B",'Full Report'!$H$6:$H$218)</f>
        <v>0.623709677419355</v>
      </c>
      <c r="D18" s="14" t="n">
        <f aca="false">COUNTIFS('Full Report'!$B$6:$B$218,"5CS-B",'Full Report'!$H$6:$H$218,"&gt;="&amp;Summary!$L$6)</f>
        <v>12</v>
      </c>
      <c r="E18" s="13" t="n">
        <f aca="false">IF(B18=0,"",D18/B18)</f>
        <v>0.193548387096774</v>
      </c>
      <c r="F18" s="12" t="n">
        <f aca="false">B18-D18</f>
        <v>50</v>
      </c>
      <c r="G18" s="15" t="n">
        <f aca="false">COUNTIFS('Full Report'!$B$6:$B$218,"5CS-B",'Full Report'!$H$6:$H$218,"&lt;"&amp;Summary!$L$8)</f>
        <v>1</v>
      </c>
      <c r="H18" s="12" t="n">
        <f aca="false">COUNTIFS('Full Report'!$B$6:$B$218,"5CS-B",'Full Report'!$H$6:$H$218,"&gt;="&amp;Summary!$L$7)</f>
        <v>48</v>
      </c>
      <c r="I18" s="16" t="n">
        <f aca="false">B18-H18</f>
        <v>14</v>
      </c>
      <c r="J18" s="17" t="n">
        <f aca="false">AVERAGEIF('Full Report'!$B$6:$B$218,"5CS-B",'Full Report'!$L$6:$L$218)</f>
        <v>16.5032258064516</v>
      </c>
      <c r="K18" s="12" t="n">
        <f aca="false">COUNTIFS('Full Report'!$B$6:$B$218,"5CS-B",'Full Report'!$L$6:$L$218,"&gt;=20")</f>
        <v>12</v>
      </c>
      <c r="L18" s="17" t="n">
        <f aca="false">SUMIF('Full Report'!$B$6:$B$218,"5CS-B",'Full Report'!$M$6:$M$218)</f>
        <v>216.8</v>
      </c>
    </row>
    <row r="19" customFormat="false" ht="15" hidden="false" customHeight="false" outlineLevel="0" collapsed="false">
      <c r="A19" s="12" t="s">
        <v>27</v>
      </c>
      <c r="B19" s="12" t="n">
        <f aca="false">COUNTIF('Full Report'!$B$6:$B$218,"5CS-C")</f>
        <v>62</v>
      </c>
      <c r="C19" s="13" t="n">
        <f aca="false">AVERAGEIF('Full Report'!$B$6:$B$218,"5CS-C",'Full Report'!$H$6:$H$218)</f>
        <v>0.578870967741936</v>
      </c>
      <c r="D19" s="14" t="n">
        <f aca="false">COUNTIFS('Full Report'!$B$6:$B$218,"5CS-C",'Full Report'!$H$6:$H$218,"&gt;="&amp;Summary!$L$6)</f>
        <v>26</v>
      </c>
      <c r="E19" s="13" t="n">
        <f aca="false">IF(B19=0,"",D19/B19)</f>
        <v>0.419354838709677</v>
      </c>
      <c r="F19" s="12" t="n">
        <f aca="false">B19-D19</f>
        <v>36</v>
      </c>
      <c r="G19" s="15" t="n">
        <f aca="false">COUNTIFS('Full Report'!$B$6:$B$218,"5CS-C",'Full Report'!$H$6:$H$218,"&lt;"&amp;Summary!$L$8)</f>
        <v>13</v>
      </c>
      <c r="H19" s="12" t="n">
        <f aca="false">COUNTIFS('Full Report'!$B$6:$B$218,"5CS-C",'Full Report'!$H$6:$H$218,"&gt;="&amp;Summary!$L$7)</f>
        <v>43</v>
      </c>
      <c r="I19" s="16" t="n">
        <f aca="false">B19-H19</f>
        <v>19</v>
      </c>
      <c r="J19" s="17" t="n">
        <f aca="false">AVERAGEIF('Full Report'!$B$6:$B$218,"5CS-C",'Full Report'!$L$6:$L$218)</f>
        <v>14.9645161290323</v>
      </c>
      <c r="K19" s="12" t="n">
        <f aca="false">COUNTIFS('Full Report'!$B$6:$B$218,"5CS-C",'Full Report'!$L$6:$L$218,"&gt;=20")</f>
        <v>26</v>
      </c>
      <c r="L19" s="17" t="n">
        <f aca="false">SUMIF('Full Report'!$B$6:$B$218,"5CS-C",'Full Report'!$M$6:$M$218)</f>
        <v>312.2</v>
      </c>
    </row>
    <row r="20" customFormat="false" ht="15" hidden="false" customHeight="false" outlineLevel="0" collapsed="false">
      <c r="A20" s="12" t="s">
        <v>28</v>
      </c>
      <c r="B20" s="12" t="n">
        <f aca="false">COUNTIF('Full Report'!$B$6:$B$218,"5CSR-D")</f>
        <v>28</v>
      </c>
      <c r="C20" s="13" t="n">
        <f aca="false">AVERAGEIF('Full Report'!$B$6:$B$218,"5CSR-D",'Full Report'!$H$6:$H$218)</f>
        <v>0.594285714285714</v>
      </c>
      <c r="D20" s="14" t="n">
        <f aca="false">COUNTIFS('Full Report'!$B$6:$B$218,"5CSR-D",'Full Report'!$H$6:$H$218,"&gt;="&amp;Summary!$L$6)</f>
        <v>5</v>
      </c>
      <c r="E20" s="13" t="n">
        <f aca="false">IF(B20=0,"",D20/B20)</f>
        <v>0.178571428571429</v>
      </c>
      <c r="F20" s="12" t="n">
        <f aca="false">B20-D20</f>
        <v>23</v>
      </c>
      <c r="G20" s="15" t="n">
        <f aca="false">COUNTIFS('Full Report'!$B$6:$B$218,"5CSR-D",'Full Report'!$H$6:$H$218,"&lt;"&amp;Summary!$L$8)</f>
        <v>3</v>
      </c>
      <c r="H20" s="12" t="n">
        <f aca="false">COUNTIFS('Full Report'!$B$6:$B$218,"5CSR-D",'Full Report'!$H$6:$H$218,"&gt;="&amp;Summary!$L$7)</f>
        <v>20</v>
      </c>
      <c r="I20" s="16" t="n">
        <f aca="false">B20-H20</f>
        <v>8</v>
      </c>
      <c r="J20" s="17" t="n">
        <f aca="false">AVERAGEIF('Full Report'!$B$6:$B$218,"5CSR-D",'Full Report'!$L$6:$L$218)</f>
        <v>15.6857142857143</v>
      </c>
      <c r="K20" s="12" t="n">
        <f aca="false">COUNTIFS('Full Report'!$B$6:$B$218,"5CSR-D",'Full Report'!$L$6:$L$218,"&gt;=20")</f>
        <v>5</v>
      </c>
      <c r="L20" s="17" t="n">
        <f aca="false">SUMIF('Full Report'!$B$6:$B$218,"5CSR-D",'Full Report'!$M$6:$M$218)</f>
        <v>120.8</v>
      </c>
    </row>
    <row r="21" customFormat="false" ht="15" hidden="false" customHeight="false" outlineLevel="0" collapsed="false">
      <c r="A21" s="18" t="s">
        <v>29</v>
      </c>
      <c r="B21" s="18" t="n">
        <f aca="false">SUM(B17:B20)</f>
        <v>213</v>
      </c>
      <c r="C21" s="19" t="n">
        <f aca="false">AVERAGE('Full Report'!$H$6:$H$218)</f>
        <v>0.603568075117371</v>
      </c>
      <c r="D21" s="20" t="n">
        <f aca="false">SUM(D17:D20)</f>
        <v>63</v>
      </c>
      <c r="E21" s="19" t="n">
        <f aca="false">IF(B21=0,"",D21/B21)</f>
        <v>0.295774647887324</v>
      </c>
      <c r="F21" s="18" t="n">
        <f aca="false">SUM(F17:F20)</f>
        <v>150</v>
      </c>
      <c r="G21" s="21" t="n">
        <f aca="false">SUM(G17:G20)</f>
        <v>26</v>
      </c>
      <c r="H21" s="18" t="n">
        <f aca="false">SUM(H17:H20)</f>
        <v>156</v>
      </c>
      <c r="I21" s="22" t="n">
        <f aca="false">SUM(I17:I20)</f>
        <v>57</v>
      </c>
      <c r="J21" s="23" t="n">
        <f aca="false">AVERAGE('Full Report'!$L$6:$L$218)</f>
        <v>15.7671361502347</v>
      </c>
      <c r="K21" s="18" t="n">
        <f aca="false">SUM(K17:K20)</f>
        <v>63</v>
      </c>
      <c r="L21" s="23" t="n">
        <f aca="false">SUM(L17:L20)</f>
        <v>901.6</v>
      </c>
    </row>
    <row r="23" customFormat="false" ht="15" hidden="false" customHeight="false" outlineLevel="0" collapsed="false">
      <c r="A23" s="4" t="s">
        <v>30</v>
      </c>
    </row>
    <row r="24" customFormat="false" ht="31.5" hidden="false" customHeight="true" outlineLevel="0" collapsed="false">
      <c r="A24" s="11" t="s">
        <v>31</v>
      </c>
      <c r="B24" s="11"/>
      <c r="C24" s="11"/>
      <c r="D24" s="11"/>
      <c r="E24" s="11"/>
      <c r="F24" s="11" t="s">
        <v>32</v>
      </c>
      <c r="G24" s="11"/>
      <c r="H24" s="11" t="s">
        <v>33</v>
      </c>
      <c r="I24" s="11"/>
      <c r="J24" s="11" t="s">
        <v>34</v>
      </c>
      <c r="K24" s="11"/>
      <c r="L24" s="11"/>
    </row>
    <row r="25" customFormat="false" ht="19.5" hidden="false" customHeight="true" outlineLevel="0" collapsed="false">
      <c r="A25" s="24" t="s">
        <v>35</v>
      </c>
      <c r="B25" s="24"/>
      <c r="C25" s="24"/>
      <c r="D25" s="24"/>
      <c r="E25" s="24"/>
      <c r="F25" s="13" t="n">
        <f aca="false">AVERAGE('Full Report'!$H$6:$H$218)</f>
        <v>0.603568075117371</v>
      </c>
      <c r="G25" s="13"/>
      <c r="H25" s="25" t="n">
        <f aca="false">AVERAGE('Full Report'!$O$6:$O$218)</f>
        <v>0.697975475921634</v>
      </c>
      <c r="I25" s="25"/>
      <c r="J25" s="26" t="n">
        <f aca="false">H25-F25</f>
        <v>0.094407400804263</v>
      </c>
      <c r="K25" s="26"/>
      <c r="L25" s="26"/>
    </row>
    <row r="26" customFormat="false" ht="19.5" hidden="false" customHeight="true" outlineLevel="0" collapsed="false">
      <c r="A26" s="24" t="s">
        <v>36</v>
      </c>
      <c r="B26" s="24"/>
      <c r="C26" s="24"/>
      <c r="D26" s="24"/>
      <c r="E26" s="24"/>
      <c r="F26" s="17" t="n">
        <f aca="false">AVERAGE('Full Report'!$L$6:$L$218)</f>
        <v>15.7671361502347</v>
      </c>
      <c r="G26" s="17"/>
      <c r="H26" s="27" t="n">
        <f aca="false">AVERAGE('Full Report'!$P$6:$P$218)</f>
        <v>17.7408450704225</v>
      </c>
      <c r="I26" s="27"/>
      <c r="J26" s="28" t="n">
        <f aca="false">H26-F26</f>
        <v>1.97370892018779</v>
      </c>
      <c r="K26" s="28"/>
      <c r="L26" s="28"/>
    </row>
    <row r="27" customFormat="false" ht="19.5" hidden="false" customHeight="true" outlineLevel="0" collapsed="false">
      <c r="A27" s="24" t="s">
        <v>37</v>
      </c>
      <c r="B27" s="24"/>
      <c r="C27" s="24"/>
      <c r="D27" s="24"/>
      <c r="E27" s="24"/>
      <c r="F27" s="29" t="n">
        <f aca="false">COUNTIF('Full Report'!$H$6:$H$218,"&gt;="&amp;Summary!$L$6)</f>
        <v>63</v>
      </c>
      <c r="G27" s="29"/>
      <c r="H27" s="30" t="n">
        <f aca="false">COUNTIF('Full Report'!$O$6:$O$218,"&gt;="&amp;Summary!$L$6)</f>
        <v>104</v>
      </c>
      <c r="I27" s="30"/>
      <c r="J27" s="31" t="n">
        <f aca="false">H27-F27</f>
        <v>41</v>
      </c>
      <c r="K27" s="31"/>
      <c r="L27" s="31"/>
    </row>
    <row r="28" customFormat="false" ht="19.5" hidden="false" customHeight="true" outlineLevel="0" collapsed="false">
      <c r="A28" s="24" t="s">
        <v>38</v>
      </c>
      <c r="B28" s="24"/>
      <c r="C28" s="24"/>
      <c r="D28" s="24"/>
      <c r="E28" s="24"/>
      <c r="F28" s="29" t="n">
        <f aca="false">COUNTIF('Full Report'!$H$6:$H$218,"&gt;="&amp;Summary!$L$7)</f>
        <v>156</v>
      </c>
      <c r="G28" s="29"/>
      <c r="H28" s="30" t="n">
        <f aca="false">COUNTIF('Full Report'!$O$6:$O$218,"&gt;="&amp;Summary!$L$7)</f>
        <v>178</v>
      </c>
      <c r="I28" s="30"/>
      <c r="J28" s="31" t="n">
        <f aca="false">H28-F28</f>
        <v>22</v>
      </c>
      <c r="K28" s="31"/>
      <c r="L28" s="31"/>
    </row>
    <row r="29" customFormat="false" ht="19.5" hidden="false" customHeight="true" outlineLevel="0" collapsed="false">
      <c r="A29" s="24" t="s">
        <v>39</v>
      </c>
      <c r="B29" s="24"/>
      <c r="C29" s="24"/>
      <c r="D29" s="24"/>
      <c r="E29" s="24"/>
      <c r="F29" s="29" t="n">
        <f aca="false">COUNTIF('Full Report'!$H$6:$H$218,"&lt;"&amp;Summary!$L$8)</f>
        <v>26</v>
      </c>
      <c r="G29" s="29"/>
      <c r="H29" s="30" t="n">
        <f aca="false">COUNTIF('Full Report'!$O$6:$O$218,"&lt;"&amp;Summary!$L$8)</f>
        <v>10</v>
      </c>
      <c r="I29" s="30"/>
      <c r="J29" s="31" t="n">
        <f aca="false">H29-F29</f>
        <v>-16</v>
      </c>
      <c r="K29" s="31"/>
      <c r="L29" s="31"/>
    </row>
    <row r="30" customFormat="false" ht="19.5" hidden="false" customHeight="true" outlineLevel="0" collapsed="false">
      <c r="A30" s="24" t="s">
        <v>40</v>
      </c>
      <c r="B30" s="24"/>
      <c r="C30" s="24"/>
      <c r="D30" s="24"/>
      <c r="E30" s="24"/>
      <c r="F30" s="29" t="n">
        <f aca="false">COUNTIF('Full Report'!$L$6:$L$218,"&gt;=20")</f>
        <v>63</v>
      </c>
      <c r="G30" s="29"/>
      <c r="H30" s="30" t="n">
        <f aca="false">COUNTIF('Full Report'!$P$6:$P$218,"&gt;=20")</f>
        <v>106</v>
      </c>
      <c r="I30" s="30"/>
      <c r="J30" s="31" t="n">
        <f aca="false">H30-F30</f>
        <v>43</v>
      </c>
      <c r="K30" s="31"/>
      <c r="L30" s="31"/>
    </row>
    <row r="31" customFormat="false" ht="19.5" hidden="false" customHeight="true" outlineLevel="0" collapsed="false">
      <c r="A31" s="24" t="s">
        <v>41</v>
      </c>
      <c r="B31" s="24"/>
      <c r="C31" s="24"/>
      <c r="D31" s="24"/>
      <c r="E31" s="24"/>
      <c r="F31" s="17" t="n">
        <f aca="false">SUM('Full Report'!$M$6:$M$218)</f>
        <v>901.6</v>
      </c>
      <c r="G31" s="17"/>
      <c r="H31" s="27" t="n">
        <f aca="false">SUM('Full Report'!$P$6:$P$218)-SUM('Full Report'!$L$6:$L$218)</f>
        <v>420.400000000001</v>
      </c>
      <c r="I31" s="27"/>
      <c r="J31" s="28" t="n">
        <f aca="false">SUM('Full Report'!$Q$6:$Q$218)</f>
        <v>420.4</v>
      </c>
      <c r="K31" s="28"/>
      <c r="L31" s="28"/>
    </row>
    <row r="33" customFormat="false" ht="15" hidden="false" customHeight="false" outlineLevel="0" collapsed="false">
      <c r="A33" s="4" t="s">
        <v>42</v>
      </c>
    </row>
    <row r="34" customFormat="false" ht="30" hidden="false" customHeight="true" outlineLevel="0" collapsed="false">
      <c r="A34" s="11" t="s">
        <v>43</v>
      </c>
      <c r="B34" s="11" t="s">
        <v>13</v>
      </c>
      <c r="C34" s="11" t="s">
        <v>44</v>
      </c>
      <c r="D34" s="11" t="s">
        <v>45</v>
      </c>
      <c r="E34" s="11"/>
      <c r="F34" s="11"/>
      <c r="G34" s="11" t="s">
        <v>46</v>
      </c>
      <c r="H34" s="11" t="s">
        <v>47</v>
      </c>
      <c r="I34" s="11" t="s">
        <v>48</v>
      </c>
      <c r="J34" s="11" t="s">
        <v>49</v>
      </c>
      <c r="K34" s="11" t="s">
        <v>50</v>
      </c>
      <c r="L34" s="11"/>
    </row>
    <row r="35" customFormat="false" ht="15" hidden="false" customHeight="false" outlineLevel="0" collapsed="false">
      <c r="A35" s="12" t="n">
        <v>1</v>
      </c>
      <c r="B35" s="12" t="s">
        <v>25</v>
      </c>
      <c r="C35" s="12" t="s">
        <v>51</v>
      </c>
      <c r="D35" s="32" t="s">
        <v>52</v>
      </c>
      <c r="E35" s="32"/>
      <c r="F35" s="32"/>
      <c r="G35" s="12" t="n">
        <f aca="false">'Full Report'!E57</f>
        <v>2</v>
      </c>
      <c r="H35" s="12" t="n">
        <f aca="false">'Full Report'!G57</f>
        <v>361</v>
      </c>
      <c r="I35" s="33" t="n">
        <f aca="false">'Full Report'!H57</f>
        <v>0.01</v>
      </c>
      <c r="J35" s="13" t="n">
        <f aca="false">'Full Report'!O57</f>
        <v>0.242616033755274</v>
      </c>
      <c r="K35" s="12" t="str">
        <f aca="false">IF('Full Report'!O57&gt;=Summary!$L$8,"Yes","No")</f>
        <v>No</v>
      </c>
      <c r="L35" s="12"/>
    </row>
    <row r="36" customFormat="false" ht="15" hidden="false" customHeight="false" outlineLevel="0" collapsed="false">
      <c r="A36" s="12" t="n">
        <v>2</v>
      </c>
      <c r="B36" s="12" t="s">
        <v>25</v>
      </c>
      <c r="C36" s="12" t="s">
        <v>53</v>
      </c>
      <c r="D36" s="32" t="s">
        <v>54</v>
      </c>
      <c r="E36" s="32"/>
      <c r="F36" s="32"/>
      <c r="G36" s="12" t="n">
        <f aca="false">'Full Report'!E65</f>
        <v>4</v>
      </c>
      <c r="H36" s="12" t="n">
        <f aca="false">'Full Report'!G65</f>
        <v>361</v>
      </c>
      <c r="I36" s="33" t="n">
        <f aca="false">'Full Report'!H65</f>
        <v>0.01</v>
      </c>
      <c r="J36" s="13" t="n">
        <f aca="false">'Full Report'!O65</f>
        <v>0.246835443037975</v>
      </c>
      <c r="K36" s="12" t="str">
        <f aca="false">IF('Full Report'!O65&gt;=Summary!$L$8,"Yes","No")</f>
        <v>No</v>
      </c>
      <c r="L36" s="12"/>
    </row>
    <row r="37" customFormat="false" ht="15" hidden="false" customHeight="false" outlineLevel="0" collapsed="false">
      <c r="A37" s="12" t="n">
        <v>3</v>
      </c>
      <c r="B37" s="12" t="s">
        <v>25</v>
      </c>
      <c r="C37" s="12" t="s">
        <v>55</v>
      </c>
      <c r="D37" s="32" t="s">
        <v>56</v>
      </c>
      <c r="E37" s="32"/>
      <c r="F37" s="32"/>
      <c r="G37" s="12" t="n">
        <f aca="false">'Full Report'!E31</f>
        <v>25</v>
      </c>
      <c r="H37" s="12" t="n">
        <f aca="false">'Full Report'!G31</f>
        <v>361</v>
      </c>
      <c r="I37" s="33" t="n">
        <f aca="false">'Full Report'!H31</f>
        <v>0.07</v>
      </c>
      <c r="J37" s="13" t="n">
        <f aca="false">'Full Report'!O31</f>
        <v>0.291139240506329</v>
      </c>
      <c r="K37" s="12" t="str">
        <f aca="false">IF('Full Report'!O31&gt;=Summary!$L$8,"Yes","No")</f>
        <v>No</v>
      </c>
      <c r="L37" s="12"/>
    </row>
    <row r="38" customFormat="false" ht="15" hidden="false" customHeight="false" outlineLevel="0" collapsed="false">
      <c r="A38" s="12" t="n">
        <v>4</v>
      </c>
      <c r="B38" s="12" t="s">
        <v>25</v>
      </c>
      <c r="C38" s="12" t="s">
        <v>57</v>
      </c>
      <c r="D38" s="32" t="s">
        <v>58</v>
      </c>
      <c r="E38" s="32"/>
      <c r="F38" s="32"/>
      <c r="G38" s="12" t="n">
        <f aca="false">'Full Report'!E52</f>
        <v>65</v>
      </c>
      <c r="H38" s="12" t="n">
        <f aca="false">'Full Report'!G52</f>
        <v>361</v>
      </c>
      <c r="I38" s="33" t="n">
        <f aca="false">'Full Report'!H52</f>
        <v>0.18</v>
      </c>
      <c r="J38" s="13" t="n">
        <f aca="false">'Full Report'!O52</f>
        <v>0.375527426160338</v>
      </c>
      <c r="K38" s="12" t="str">
        <f aca="false">IF('Full Report'!O52&gt;=Summary!$L$8,"Yes","No")</f>
        <v>Yes</v>
      </c>
      <c r="L38" s="12"/>
    </row>
    <row r="39" customFormat="false" ht="15" hidden="false" customHeight="false" outlineLevel="0" collapsed="false">
      <c r="A39" s="12" t="n">
        <v>5</v>
      </c>
      <c r="B39" s="12" t="s">
        <v>25</v>
      </c>
      <c r="C39" s="12" t="s">
        <v>59</v>
      </c>
      <c r="D39" s="32" t="s">
        <v>60</v>
      </c>
      <c r="E39" s="32"/>
      <c r="F39" s="32"/>
      <c r="G39" s="12" t="n">
        <f aca="false">'Full Report'!E25</f>
        <v>69</v>
      </c>
      <c r="H39" s="12" t="n">
        <f aca="false">'Full Report'!G25</f>
        <v>361</v>
      </c>
      <c r="I39" s="33" t="n">
        <f aca="false">'Full Report'!H25</f>
        <v>0.19</v>
      </c>
      <c r="J39" s="13" t="n">
        <f aca="false">'Full Report'!O25</f>
        <v>0.383966244725738</v>
      </c>
      <c r="K39" s="12" t="str">
        <f aca="false">IF('Full Report'!O25&gt;=Summary!$L$8,"Yes","No")</f>
        <v>Yes</v>
      </c>
      <c r="L39" s="12"/>
    </row>
    <row r="40" customFormat="false" ht="15" hidden="false" customHeight="false" outlineLevel="0" collapsed="false">
      <c r="A40" s="12" t="n">
        <v>6</v>
      </c>
      <c r="B40" s="12" t="s">
        <v>25</v>
      </c>
      <c r="C40" s="12" t="s">
        <v>61</v>
      </c>
      <c r="D40" s="32" t="s">
        <v>62</v>
      </c>
      <c r="E40" s="32"/>
      <c r="F40" s="32"/>
      <c r="G40" s="12" t="n">
        <f aca="false">'Full Report'!E20</f>
        <v>70</v>
      </c>
      <c r="H40" s="12" t="n">
        <f aca="false">'Full Report'!G20</f>
        <v>361</v>
      </c>
      <c r="I40" s="33" t="n">
        <f aca="false">'Full Report'!H20</f>
        <v>0.19</v>
      </c>
      <c r="J40" s="13" t="n">
        <f aca="false">'Full Report'!O20</f>
        <v>0.386075949367089</v>
      </c>
      <c r="K40" s="12" t="str">
        <f aca="false">IF('Full Report'!O20&gt;=Summary!$L$8,"Yes","No")</f>
        <v>Yes</v>
      </c>
      <c r="L40" s="12"/>
    </row>
    <row r="41" customFormat="false" ht="15" hidden="false" customHeight="false" outlineLevel="0" collapsed="false">
      <c r="A41" s="12" t="n">
        <v>7</v>
      </c>
      <c r="B41" s="12" t="s">
        <v>25</v>
      </c>
      <c r="C41" s="12" t="s">
        <v>63</v>
      </c>
      <c r="D41" s="32" t="s">
        <v>64</v>
      </c>
      <c r="E41" s="32"/>
      <c r="F41" s="32"/>
      <c r="G41" s="12" t="n">
        <f aca="false">'Full Report'!E44</f>
        <v>80</v>
      </c>
      <c r="H41" s="12" t="n">
        <f aca="false">'Full Report'!G44</f>
        <v>361</v>
      </c>
      <c r="I41" s="33" t="n">
        <f aca="false">'Full Report'!H44</f>
        <v>0.22</v>
      </c>
      <c r="J41" s="13" t="n">
        <f aca="false">'Full Report'!O44</f>
        <v>0.407172995780591</v>
      </c>
      <c r="K41" s="12" t="str">
        <f aca="false">IF('Full Report'!O44&gt;=Summary!$L$8,"Yes","No")</f>
        <v>Yes</v>
      </c>
      <c r="L41" s="12"/>
    </row>
    <row r="42" customFormat="false" ht="15" hidden="false" customHeight="false" outlineLevel="0" collapsed="false">
      <c r="A42" s="12" t="n">
        <v>8</v>
      </c>
      <c r="B42" s="12" t="s">
        <v>25</v>
      </c>
      <c r="C42" s="12" t="s">
        <v>65</v>
      </c>
      <c r="D42" s="32" t="s">
        <v>66</v>
      </c>
      <c r="E42" s="32"/>
      <c r="F42" s="32"/>
      <c r="G42" s="12" t="n">
        <f aca="false">'Full Report'!E47</f>
        <v>95</v>
      </c>
      <c r="H42" s="12" t="n">
        <f aca="false">'Full Report'!G47</f>
        <v>361</v>
      </c>
      <c r="I42" s="33" t="n">
        <f aca="false">'Full Report'!H47</f>
        <v>0.26</v>
      </c>
      <c r="J42" s="13" t="n">
        <f aca="false">'Full Report'!O47</f>
        <v>0.438818565400844</v>
      </c>
      <c r="K42" s="12" t="str">
        <f aca="false">IF('Full Report'!O47&gt;=Summary!$L$8,"Yes","No")</f>
        <v>Yes</v>
      </c>
      <c r="L42" s="12"/>
    </row>
    <row r="43" customFormat="false" ht="15" hidden="false" customHeight="false" outlineLevel="0" collapsed="false">
      <c r="A43" s="12" t="n">
        <v>9</v>
      </c>
      <c r="B43" s="12" t="s">
        <v>25</v>
      </c>
      <c r="C43" s="12" t="s">
        <v>67</v>
      </c>
      <c r="D43" s="32" t="s">
        <v>68</v>
      </c>
      <c r="E43" s="32"/>
      <c r="F43" s="32"/>
      <c r="G43" s="12" t="n">
        <f aca="false">'Full Report'!E63</f>
        <v>96</v>
      </c>
      <c r="H43" s="12" t="n">
        <f aca="false">'Full Report'!G63</f>
        <v>361</v>
      </c>
      <c r="I43" s="33" t="n">
        <f aca="false">'Full Report'!H63</f>
        <v>0.27</v>
      </c>
      <c r="J43" s="13" t="n">
        <f aca="false">'Full Report'!O63</f>
        <v>0.440928270042194</v>
      </c>
      <c r="K43" s="12" t="str">
        <f aca="false">IF('Full Report'!O63&gt;=Summary!$L$8,"Yes","No")</f>
        <v>Yes</v>
      </c>
      <c r="L43" s="12"/>
    </row>
    <row r="44" customFormat="false" ht="15" hidden="false" customHeight="false" outlineLevel="0" collapsed="false">
      <c r="A44" s="12" t="n">
        <v>10</v>
      </c>
      <c r="B44" s="12" t="s">
        <v>26</v>
      </c>
      <c r="C44" s="12" t="s">
        <v>69</v>
      </c>
      <c r="D44" s="32" t="s">
        <v>70</v>
      </c>
      <c r="E44" s="32"/>
      <c r="F44" s="32"/>
      <c r="G44" s="12" t="n">
        <f aca="false">'Full Report'!E111</f>
        <v>68</v>
      </c>
      <c r="H44" s="12" t="n">
        <f aca="false">'Full Report'!G111</f>
        <v>361</v>
      </c>
      <c r="I44" s="33" t="n">
        <f aca="false">'Full Report'!H111</f>
        <v>0.19</v>
      </c>
      <c r="J44" s="13" t="n">
        <f aca="false">'Full Report'!O111</f>
        <v>0.381856540084388</v>
      </c>
      <c r="K44" s="12" t="str">
        <f aca="false">IF('Full Report'!O111&gt;=Summary!$L$8,"Yes","No")</f>
        <v>Yes</v>
      </c>
      <c r="L44" s="12"/>
    </row>
    <row r="45" customFormat="false" ht="15" hidden="false" customHeight="false" outlineLevel="0" collapsed="false">
      <c r="A45" s="12" t="n">
        <v>11</v>
      </c>
      <c r="B45" s="12" t="s">
        <v>27</v>
      </c>
      <c r="C45" s="12" t="s">
        <v>71</v>
      </c>
      <c r="D45" s="32" t="s">
        <v>72</v>
      </c>
      <c r="E45" s="32"/>
      <c r="F45" s="32"/>
      <c r="G45" s="12" t="n">
        <f aca="false">'Full Report'!E145</f>
        <v>2</v>
      </c>
      <c r="H45" s="12" t="n">
        <f aca="false">'Full Report'!G145</f>
        <v>361</v>
      </c>
      <c r="I45" s="33" t="n">
        <f aca="false">'Full Report'!H145</f>
        <v>0.01</v>
      </c>
      <c r="J45" s="13" t="n">
        <f aca="false">'Full Report'!O145</f>
        <v>0.242616033755274</v>
      </c>
      <c r="K45" s="12" t="str">
        <f aca="false">IF('Full Report'!O145&gt;=Summary!$L$8,"Yes","No")</f>
        <v>No</v>
      </c>
      <c r="L45" s="12"/>
    </row>
    <row r="46" customFormat="false" ht="15" hidden="false" customHeight="false" outlineLevel="0" collapsed="false">
      <c r="A46" s="12" t="n">
        <v>12</v>
      </c>
      <c r="B46" s="12" t="s">
        <v>27</v>
      </c>
      <c r="C46" s="12" t="s">
        <v>73</v>
      </c>
      <c r="D46" s="32" t="s">
        <v>74</v>
      </c>
      <c r="E46" s="32"/>
      <c r="F46" s="32"/>
      <c r="G46" s="12" t="n">
        <f aca="false">'Full Report'!E187</f>
        <v>4</v>
      </c>
      <c r="H46" s="12" t="n">
        <f aca="false">'Full Report'!G187</f>
        <v>361</v>
      </c>
      <c r="I46" s="33" t="n">
        <f aca="false">'Full Report'!H187</f>
        <v>0.01</v>
      </c>
      <c r="J46" s="13" t="n">
        <f aca="false">'Full Report'!O187</f>
        <v>0.246835443037975</v>
      </c>
      <c r="K46" s="12" t="str">
        <f aca="false">IF('Full Report'!O187&gt;=Summary!$L$8,"Yes","No")</f>
        <v>No</v>
      </c>
      <c r="L46" s="12"/>
    </row>
    <row r="47" customFormat="false" ht="15" hidden="false" customHeight="false" outlineLevel="0" collapsed="false">
      <c r="A47" s="12" t="n">
        <v>13</v>
      </c>
      <c r="B47" s="12" t="s">
        <v>27</v>
      </c>
      <c r="C47" s="12" t="s">
        <v>75</v>
      </c>
      <c r="D47" s="32" t="s">
        <v>76</v>
      </c>
      <c r="E47" s="32"/>
      <c r="F47" s="32"/>
      <c r="G47" s="12" t="n">
        <f aca="false">'Full Report'!E161</f>
        <v>5</v>
      </c>
      <c r="H47" s="12" t="n">
        <f aca="false">'Full Report'!G161</f>
        <v>361</v>
      </c>
      <c r="I47" s="33" t="n">
        <f aca="false">'Full Report'!H161</f>
        <v>0.01</v>
      </c>
      <c r="J47" s="13" t="n">
        <f aca="false">'Full Report'!O161</f>
        <v>0.248945147679325</v>
      </c>
      <c r="K47" s="12" t="str">
        <f aca="false">IF('Full Report'!O161&gt;=Summary!$L$8,"Yes","No")</f>
        <v>No</v>
      </c>
      <c r="L47" s="12"/>
    </row>
    <row r="48" customFormat="false" ht="15" hidden="false" customHeight="false" outlineLevel="0" collapsed="false">
      <c r="A48" s="12" t="n">
        <v>14</v>
      </c>
      <c r="B48" s="12" t="s">
        <v>27</v>
      </c>
      <c r="C48" s="12" t="s">
        <v>77</v>
      </c>
      <c r="D48" s="32" t="s">
        <v>54</v>
      </c>
      <c r="E48" s="32"/>
      <c r="F48" s="32"/>
      <c r="G48" s="12" t="n">
        <f aca="false">'Full Report'!E173</f>
        <v>5</v>
      </c>
      <c r="H48" s="12" t="n">
        <f aca="false">'Full Report'!G173</f>
        <v>361</v>
      </c>
      <c r="I48" s="33" t="n">
        <f aca="false">'Full Report'!H173</f>
        <v>0.01</v>
      </c>
      <c r="J48" s="13" t="n">
        <f aca="false">'Full Report'!O173</f>
        <v>0.248945147679325</v>
      </c>
      <c r="K48" s="12" t="str">
        <f aca="false">IF('Full Report'!O173&gt;=Summary!$L$8,"Yes","No")</f>
        <v>No</v>
      </c>
      <c r="L48" s="12"/>
    </row>
    <row r="49" customFormat="false" ht="15" hidden="false" customHeight="false" outlineLevel="0" collapsed="false">
      <c r="A49" s="12" t="n">
        <v>15</v>
      </c>
      <c r="B49" s="12" t="s">
        <v>27</v>
      </c>
      <c r="C49" s="12" t="s">
        <v>78</v>
      </c>
      <c r="D49" s="32" t="s">
        <v>79</v>
      </c>
      <c r="E49" s="32"/>
      <c r="F49" s="32"/>
      <c r="G49" s="12" t="n">
        <f aca="false">'Full Report'!E150</f>
        <v>9</v>
      </c>
      <c r="H49" s="12" t="n">
        <f aca="false">'Full Report'!G150</f>
        <v>361</v>
      </c>
      <c r="I49" s="33" t="n">
        <f aca="false">'Full Report'!H150</f>
        <v>0.02</v>
      </c>
      <c r="J49" s="13" t="n">
        <f aca="false">'Full Report'!O150</f>
        <v>0.257383966244726</v>
      </c>
      <c r="K49" s="12" t="str">
        <f aca="false">IF('Full Report'!O150&gt;=Summary!$L$8,"Yes","No")</f>
        <v>No</v>
      </c>
      <c r="L49" s="12"/>
    </row>
    <row r="50" customFormat="false" ht="15" hidden="false" customHeight="false" outlineLevel="0" collapsed="false">
      <c r="A50" s="12" t="n">
        <v>16</v>
      </c>
      <c r="B50" s="12" t="s">
        <v>27</v>
      </c>
      <c r="C50" s="12" t="s">
        <v>80</v>
      </c>
      <c r="D50" s="32" t="s">
        <v>81</v>
      </c>
      <c r="E50" s="32"/>
      <c r="F50" s="32"/>
      <c r="G50" s="12" t="n">
        <f aca="false">'Full Report'!E146</f>
        <v>19</v>
      </c>
      <c r="H50" s="12" t="n">
        <f aca="false">'Full Report'!G146</f>
        <v>361</v>
      </c>
      <c r="I50" s="33" t="n">
        <f aca="false">'Full Report'!H146</f>
        <v>0.05</v>
      </c>
      <c r="J50" s="13" t="n">
        <f aca="false">'Full Report'!O146</f>
        <v>0.278481012658228</v>
      </c>
      <c r="K50" s="12" t="str">
        <f aca="false">IF('Full Report'!O146&gt;=Summary!$L$8,"Yes","No")</f>
        <v>No</v>
      </c>
      <c r="L50" s="12"/>
    </row>
    <row r="51" customFormat="false" ht="15" hidden="false" customHeight="false" outlineLevel="0" collapsed="false">
      <c r="A51" s="12" t="n">
        <v>17</v>
      </c>
      <c r="B51" s="12" t="s">
        <v>27</v>
      </c>
      <c r="C51" s="12" t="s">
        <v>82</v>
      </c>
      <c r="D51" s="32" t="s">
        <v>83</v>
      </c>
      <c r="E51" s="32"/>
      <c r="F51" s="32"/>
      <c r="G51" s="12" t="n">
        <f aca="false">'Full Report'!E163</f>
        <v>25</v>
      </c>
      <c r="H51" s="12" t="n">
        <f aca="false">'Full Report'!G163</f>
        <v>361</v>
      </c>
      <c r="I51" s="33" t="n">
        <f aca="false">'Full Report'!H163</f>
        <v>0.07</v>
      </c>
      <c r="J51" s="13" t="n">
        <f aca="false">'Full Report'!O163</f>
        <v>0.291139240506329</v>
      </c>
      <c r="K51" s="12" t="str">
        <f aca="false">IF('Full Report'!O163&gt;=Summary!$L$8,"Yes","No")</f>
        <v>No</v>
      </c>
      <c r="L51" s="12"/>
    </row>
    <row r="52" customFormat="false" ht="15" hidden="false" customHeight="false" outlineLevel="0" collapsed="false">
      <c r="A52" s="12" t="n">
        <v>18</v>
      </c>
      <c r="B52" s="12" t="s">
        <v>27</v>
      </c>
      <c r="C52" s="12" t="s">
        <v>84</v>
      </c>
      <c r="D52" s="32" t="s">
        <v>85</v>
      </c>
      <c r="E52" s="32"/>
      <c r="F52" s="32"/>
      <c r="G52" s="12" t="n">
        <f aca="false">'Full Report'!E171</f>
        <v>30</v>
      </c>
      <c r="H52" s="12" t="n">
        <f aca="false">'Full Report'!G171</f>
        <v>361</v>
      </c>
      <c r="I52" s="33" t="n">
        <f aca="false">'Full Report'!H171</f>
        <v>0.08</v>
      </c>
      <c r="J52" s="13" t="n">
        <f aca="false">'Full Report'!O171</f>
        <v>0.30168776371308</v>
      </c>
      <c r="K52" s="12" t="str">
        <f aca="false">IF('Full Report'!O171&gt;=Summary!$L$8,"Yes","No")</f>
        <v>Yes</v>
      </c>
      <c r="L52" s="12"/>
    </row>
    <row r="53" customFormat="false" ht="15" hidden="false" customHeight="false" outlineLevel="0" collapsed="false">
      <c r="A53" s="12" t="n">
        <v>19</v>
      </c>
      <c r="B53" s="12" t="s">
        <v>27</v>
      </c>
      <c r="C53" s="12" t="s">
        <v>86</v>
      </c>
      <c r="D53" s="32" t="s">
        <v>87</v>
      </c>
      <c r="E53" s="32"/>
      <c r="F53" s="32"/>
      <c r="G53" s="12" t="n">
        <f aca="false">'Full Report'!E144</f>
        <v>34</v>
      </c>
      <c r="H53" s="12" t="n">
        <f aca="false">'Full Report'!G144</f>
        <v>361</v>
      </c>
      <c r="I53" s="33" t="n">
        <f aca="false">'Full Report'!H144</f>
        <v>0.09</v>
      </c>
      <c r="J53" s="13" t="n">
        <f aca="false">'Full Report'!O144</f>
        <v>0.310126582278481</v>
      </c>
      <c r="K53" s="12" t="str">
        <f aca="false">IF('Full Report'!O144&gt;=Summary!$L$8,"Yes","No")</f>
        <v>Yes</v>
      </c>
      <c r="L53" s="12"/>
    </row>
    <row r="54" customFormat="false" ht="15" hidden="false" customHeight="false" outlineLevel="0" collapsed="false">
      <c r="A54" s="12" t="n">
        <v>20</v>
      </c>
      <c r="B54" s="12" t="s">
        <v>27</v>
      </c>
      <c r="C54" s="12" t="s">
        <v>88</v>
      </c>
      <c r="D54" s="32" t="s">
        <v>89</v>
      </c>
      <c r="E54" s="32"/>
      <c r="F54" s="32"/>
      <c r="G54" s="12" t="n">
        <f aca="false">'Full Report'!E140</f>
        <v>42</v>
      </c>
      <c r="H54" s="12" t="n">
        <f aca="false">'Full Report'!G140</f>
        <v>361</v>
      </c>
      <c r="I54" s="33" t="n">
        <f aca="false">'Full Report'!H140</f>
        <v>0.12</v>
      </c>
      <c r="J54" s="13" t="n">
        <f aca="false">'Full Report'!O140</f>
        <v>0.327004219409283</v>
      </c>
      <c r="K54" s="12" t="str">
        <f aca="false">IF('Full Report'!O140&gt;=Summary!$L$8,"Yes","No")</f>
        <v>Yes</v>
      </c>
      <c r="L54" s="12"/>
    </row>
    <row r="55" customFormat="false" ht="15" hidden="false" customHeight="false" outlineLevel="0" collapsed="false">
      <c r="A55" s="12" t="n">
        <v>21</v>
      </c>
      <c r="B55" s="12" t="s">
        <v>27</v>
      </c>
      <c r="C55" s="12" t="s">
        <v>90</v>
      </c>
      <c r="D55" s="32" t="s">
        <v>91</v>
      </c>
      <c r="E55" s="32"/>
      <c r="F55" s="32"/>
      <c r="G55" s="12" t="n">
        <f aca="false">'Full Report'!E168</f>
        <v>57</v>
      </c>
      <c r="H55" s="12" t="n">
        <f aca="false">'Full Report'!G168</f>
        <v>361</v>
      </c>
      <c r="I55" s="33" t="n">
        <f aca="false">'Full Report'!H168</f>
        <v>0.16</v>
      </c>
      <c r="J55" s="13" t="n">
        <f aca="false">'Full Report'!O168</f>
        <v>0.358649789029536</v>
      </c>
      <c r="K55" s="12" t="str">
        <f aca="false">IF('Full Report'!O168&gt;=Summary!$L$8,"Yes","No")</f>
        <v>Yes</v>
      </c>
      <c r="L55" s="12"/>
    </row>
    <row r="56" customFormat="false" ht="15" hidden="false" customHeight="false" outlineLevel="0" collapsed="false">
      <c r="A56" s="12" t="n">
        <v>22</v>
      </c>
      <c r="B56" s="12" t="s">
        <v>27</v>
      </c>
      <c r="C56" s="12" t="s">
        <v>92</v>
      </c>
      <c r="D56" s="32" t="s">
        <v>93</v>
      </c>
      <c r="E56" s="32"/>
      <c r="F56" s="32"/>
      <c r="G56" s="12" t="n">
        <f aca="false">'Full Report'!E170</f>
        <v>89</v>
      </c>
      <c r="H56" s="12" t="n">
        <f aca="false">'Full Report'!G170</f>
        <v>361</v>
      </c>
      <c r="I56" s="33" t="n">
        <f aca="false">'Full Report'!H170</f>
        <v>0.25</v>
      </c>
      <c r="J56" s="13" t="n">
        <f aca="false">'Full Report'!O170</f>
        <v>0.426160337552743</v>
      </c>
      <c r="K56" s="12" t="str">
        <f aca="false">IF('Full Report'!O170&gt;=Summary!$L$8,"Yes","No")</f>
        <v>Yes</v>
      </c>
      <c r="L56" s="12"/>
    </row>
    <row r="57" customFormat="false" ht="15" hidden="false" customHeight="false" outlineLevel="0" collapsed="false">
      <c r="A57" s="12" t="n">
        <v>23</v>
      </c>
      <c r="B57" s="12" t="s">
        <v>27</v>
      </c>
      <c r="C57" s="12" t="s">
        <v>94</v>
      </c>
      <c r="D57" s="32" t="s">
        <v>95</v>
      </c>
      <c r="E57" s="32"/>
      <c r="F57" s="32"/>
      <c r="G57" s="12" t="n">
        <f aca="false">'Full Report'!E176</f>
        <v>102</v>
      </c>
      <c r="H57" s="12" t="n">
        <f aca="false">'Full Report'!G176</f>
        <v>361</v>
      </c>
      <c r="I57" s="33" t="n">
        <f aca="false">'Full Report'!H176</f>
        <v>0.28</v>
      </c>
      <c r="J57" s="13" t="n">
        <f aca="false">'Full Report'!O176</f>
        <v>0.453586497890295</v>
      </c>
      <c r="K57" s="12" t="str">
        <f aca="false">IF('Full Report'!O176&gt;=Summary!$L$8,"Yes","No")</f>
        <v>Yes</v>
      </c>
      <c r="L57" s="12"/>
    </row>
    <row r="58" customFormat="false" ht="15" hidden="false" customHeight="false" outlineLevel="0" collapsed="false">
      <c r="A58" s="12" t="n">
        <v>24</v>
      </c>
      <c r="B58" s="12" t="s">
        <v>28</v>
      </c>
      <c r="C58" s="12" t="s">
        <v>96</v>
      </c>
      <c r="D58" s="32" t="s">
        <v>97</v>
      </c>
      <c r="E58" s="32"/>
      <c r="F58" s="32"/>
      <c r="G58" s="12" t="n">
        <f aca="false">'Full Report'!E210</f>
        <v>70</v>
      </c>
      <c r="H58" s="12" t="n">
        <f aca="false">'Full Report'!G210</f>
        <v>361</v>
      </c>
      <c r="I58" s="33" t="n">
        <f aca="false">'Full Report'!H210</f>
        <v>0.19</v>
      </c>
      <c r="J58" s="13" t="n">
        <f aca="false">'Full Report'!O210</f>
        <v>0.386075949367089</v>
      </c>
      <c r="K58" s="12" t="str">
        <f aca="false">IF('Full Report'!O210&gt;=Summary!$L$8,"Yes","No")</f>
        <v>Yes</v>
      </c>
      <c r="L58" s="12"/>
    </row>
    <row r="59" customFormat="false" ht="15" hidden="false" customHeight="false" outlineLevel="0" collapsed="false">
      <c r="A59" s="12" t="n">
        <v>25</v>
      </c>
      <c r="B59" s="12" t="s">
        <v>28</v>
      </c>
      <c r="C59" s="12" t="s">
        <v>98</v>
      </c>
      <c r="D59" s="32" t="s">
        <v>99</v>
      </c>
      <c r="E59" s="32"/>
      <c r="F59" s="32"/>
      <c r="G59" s="12" t="n">
        <f aca="false">'Full Report'!E208</f>
        <v>76</v>
      </c>
      <c r="H59" s="12" t="n">
        <f aca="false">'Full Report'!G208</f>
        <v>361</v>
      </c>
      <c r="I59" s="33" t="n">
        <f aca="false">'Full Report'!H208</f>
        <v>0.21</v>
      </c>
      <c r="J59" s="13" t="n">
        <f aca="false">'Full Report'!O208</f>
        <v>0.39873417721519</v>
      </c>
      <c r="K59" s="12" t="str">
        <f aca="false">IF('Full Report'!O208&gt;=Summary!$L$8,"Yes","No")</f>
        <v>Yes</v>
      </c>
      <c r="L59" s="12"/>
    </row>
    <row r="60" customFormat="false" ht="15" hidden="false" customHeight="false" outlineLevel="0" collapsed="false">
      <c r="A60" s="12" t="n">
        <v>26</v>
      </c>
      <c r="B60" s="12" t="s">
        <v>28</v>
      </c>
      <c r="C60" s="12" t="s">
        <v>100</v>
      </c>
      <c r="D60" s="32" t="s">
        <v>101</v>
      </c>
      <c r="E60" s="32"/>
      <c r="F60" s="32"/>
      <c r="G60" s="12" t="n">
        <f aca="false">'Full Report'!E206</f>
        <v>93</v>
      </c>
      <c r="H60" s="12" t="n">
        <f aca="false">'Full Report'!G206</f>
        <v>361</v>
      </c>
      <c r="I60" s="33" t="n">
        <f aca="false">'Full Report'!H206</f>
        <v>0.26</v>
      </c>
      <c r="J60" s="13" t="n">
        <f aca="false">'Full Report'!O206</f>
        <v>0.434599156118144</v>
      </c>
      <c r="K60" s="12" t="str">
        <f aca="false">IF('Full Report'!O206&gt;=Summary!$L$8,"Yes","No")</f>
        <v>Yes</v>
      </c>
      <c r="L60" s="12"/>
    </row>
    <row r="62" customFormat="false" ht="15.75" hidden="false" customHeight="true" outlineLevel="0" collapsed="false">
      <c r="A62" s="34" t="s">
        <v>102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customFormat="false" ht="24" hidden="false" customHeight="true" outlineLevel="0" collapsed="false">
      <c r="A63" s="35" t="s">
        <v>103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</row>
    <row r="64" customFormat="false" ht="24" hidden="false" customHeight="true" outlineLevel="0" collapsed="false">
      <c r="A64" s="35" t="s">
        <v>104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</row>
    <row r="65" customFormat="false" ht="24" hidden="false" customHeight="true" outlineLevel="0" collapsed="false">
      <c r="A65" s="35" t="s">
        <v>105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customFormat="false" ht="24" hidden="false" customHeight="true" outlineLevel="0" collapsed="false">
      <c r="A66" s="35" t="s">
        <v>106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</row>
  </sheetData>
  <mergeCells count="102">
    <mergeCell ref="A1:L1"/>
    <mergeCell ref="A2:L2"/>
    <mergeCell ref="A3:L3"/>
    <mergeCell ref="A6:K6"/>
    <mergeCell ref="A7:K7"/>
    <mergeCell ref="A8:K8"/>
    <mergeCell ref="A9:K9"/>
    <mergeCell ref="A10:K10"/>
    <mergeCell ref="A11:K11"/>
    <mergeCell ref="A12:K12"/>
    <mergeCell ref="A13:K13"/>
    <mergeCell ref="A24:E24"/>
    <mergeCell ref="F24:G24"/>
    <mergeCell ref="H24:I24"/>
    <mergeCell ref="J24:L24"/>
    <mergeCell ref="A25:E25"/>
    <mergeCell ref="F25:G25"/>
    <mergeCell ref="H25:I25"/>
    <mergeCell ref="J25:L25"/>
    <mergeCell ref="A26:E26"/>
    <mergeCell ref="F26:G26"/>
    <mergeCell ref="H26:I26"/>
    <mergeCell ref="J26:L26"/>
    <mergeCell ref="A27:E27"/>
    <mergeCell ref="F27:G27"/>
    <mergeCell ref="H27:I27"/>
    <mergeCell ref="J27:L27"/>
    <mergeCell ref="A28:E28"/>
    <mergeCell ref="F28:G28"/>
    <mergeCell ref="H28:I28"/>
    <mergeCell ref="J28:L28"/>
    <mergeCell ref="A29:E29"/>
    <mergeCell ref="F29:G29"/>
    <mergeCell ref="H29:I29"/>
    <mergeCell ref="J29:L29"/>
    <mergeCell ref="A30:E30"/>
    <mergeCell ref="F30:G30"/>
    <mergeCell ref="H30:I30"/>
    <mergeCell ref="J30:L30"/>
    <mergeCell ref="A31:E31"/>
    <mergeCell ref="F31:G31"/>
    <mergeCell ref="H31:I31"/>
    <mergeCell ref="J31:L31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D44:F44"/>
    <mergeCell ref="K44:L4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D55:F55"/>
    <mergeCell ref="K55:L55"/>
    <mergeCell ref="D56:F56"/>
    <mergeCell ref="K56:L56"/>
    <mergeCell ref="D57:F57"/>
    <mergeCell ref="K57:L57"/>
    <mergeCell ref="D58:F58"/>
    <mergeCell ref="K58:L58"/>
    <mergeCell ref="D59:F59"/>
    <mergeCell ref="K59:L59"/>
    <mergeCell ref="D60:F60"/>
    <mergeCell ref="K60:L60"/>
    <mergeCell ref="A62:L62"/>
    <mergeCell ref="A63:L63"/>
    <mergeCell ref="A64:L64"/>
    <mergeCell ref="A65:L65"/>
    <mergeCell ref="A66:L66"/>
  </mergeCells>
  <conditionalFormatting sqref="K35:K60">
    <cfRule type="expression" priority="2" aboveAverage="0" equalAverage="0" bottom="0" percent="0" rank="0" text="" dxfId="0">
      <formula>K35="Yes"</formula>
    </cfRule>
    <cfRule type="expression" priority="3" aboveAverage="0" equalAverage="0" bottom="0" percent="0" rank="0" text="" dxfId="1">
      <formula>K35="No"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28"/>
    <col collapsed="false" customWidth="true" hidden="false" outlineLevel="0" max="7" min="5" style="0" width="8"/>
    <col collapsed="false" customWidth="true" hidden="false" outlineLevel="0" max="10" min="8" style="0" width="10"/>
    <col collapsed="false" customWidth="true" hidden="false" outlineLevel="0" max="12" min="11" style="0" width="12"/>
    <col collapsed="false" customWidth="true" hidden="false" outlineLevel="0" max="13" min="13" style="0" width="8"/>
    <col collapsed="false" customWidth="true" hidden="false" outlineLevel="0" max="14" min="14" style="0" width="17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17"/>
    <col collapsed="false" customWidth="true" hidden="false" outlineLevel="0" max="20" min="19" style="0" width="15"/>
    <col collapsed="false" customWidth="true" hidden="false" outlineLevel="0" max="21" min="21" style="0" width="14"/>
  </cols>
  <sheetData>
    <row r="1" customFormat="false" ht="16.15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true" outlineLevel="0" collapsed="false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33.75" hidden="false" customHeight="true" outlineLevel="0" collapsed="false">
      <c r="A3" s="3" t="s">
        <v>109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5" customFormat="false" ht="61.5" hidden="false" customHeight="true" outlineLevel="0" collapsed="false">
      <c r="A5" s="11" t="s">
        <v>43</v>
      </c>
      <c r="B5" s="11" t="s">
        <v>13</v>
      </c>
      <c r="C5" s="11" t="s">
        <v>44</v>
      </c>
      <c r="D5" s="11" t="s">
        <v>45</v>
      </c>
      <c r="E5" s="11" t="s">
        <v>110</v>
      </c>
      <c r="F5" s="11" t="s">
        <v>111</v>
      </c>
      <c r="G5" s="11" t="s">
        <v>112</v>
      </c>
      <c r="H5" s="11" t="s">
        <v>48</v>
      </c>
      <c r="I5" s="11" t="s">
        <v>113</v>
      </c>
      <c r="J5" s="11" t="s">
        <v>19</v>
      </c>
      <c r="K5" s="11" t="s">
        <v>114</v>
      </c>
      <c r="L5" s="11" t="s">
        <v>115</v>
      </c>
      <c r="M5" s="11" t="s">
        <v>116</v>
      </c>
      <c r="N5" s="11" t="s">
        <v>117</v>
      </c>
      <c r="O5" s="11" t="s">
        <v>118</v>
      </c>
      <c r="P5" s="11" t="s">
        <v>119</v>
      </c>
      <c r="Q5" s="11" t="s">
        <v>120</v>
      </c>
      <c r="R5" s="11" t="s">
        <v>121</v>
      </c>
      <c r="S5" s="11" t="s">
        <v>122</v>
      </c>
      <c r="T5" s="11" t="s">
        <v>123</v>
      </c>
      <c r="U5" s="11" t="s">
        <v>124</v>
      </c>
    </row>
    <row r="6" customFormat="false" ht="15" hidden="false" customHeight="false" outlineLevel="0" collapsed="false">
      <c r="A6" s="12" t="n">
        <v>1</v>
      </c>
      <c r="B6" s="12" t="s">
        <v>25</v>
      </c>
      <c r="C6" s="12" t="s">
        <v>125</v>
      </c>
      <c r="D6" s="32" t="s">
        <v>126</v>
      </c>
      <c r="E6" s="12" t="n">
        <v>298</v>
      </c>
      <c r="F6" s="12" t="n">
        <v>63</v>
      </c>
      <c r="G6" s="12" t="n">
        <v>361</v>
      </c>
      <c r="H6" s="36" t="n">
        <f aca="false">ROUND(E6/G6*100,0)/100</f>
        <v>0.83</v>
      </c>
      <c r="I6" s="12" t="str">
        <f aca="false">IF(H6&gt;=Summary!$L$6,"Eligible","Shortage")</f>
        <v>Eligible</v>
      </c>
      <c r="J6" s="12" t="str">
        <f aca="false">IF(H6&lt;Summary!$L$8,"YES","No")</f>
        <v>No</v>
      </c>
      <c r="K6" s="12" t="str">
        <f aca="false">IF(H6&gt;=Summary!$L$7,"Counted","Not Counted")</f>
        <v>Counted</v>
      </c>
      <c r="L6" s="17" t="n">
        <f aca="false">IF(H6&gt;=Summary!$L$6,20,ROUND(H6/Summary!$L$6*10,1)*2)</f>
        <v>20</v>
      </c>
      <c r="M6" s="37" t="n">
        <f aca="false">20-L6</f>
        <v>0</v>
      </c>
      <c r="N6" s="12" t="str">
        <f aca="false">IF(H6&gt;=Summary!$L$6,"75%+ (all benefits)",IF(H6&gt;=Summary!$L$7,"55-74%",IF(H6&gt;=Summary!$L$8,"30-54%","Below 30%")))</f>
        <v>75%+ (all benefits)</v>
      </c>
      <c r="O6" s="13" t="n">
        <f aca="false">(E6+Summary!$L$13)/(G6+Summary!$L$13)</f>
        <v>0.867088607594937</v>
      </c>
      <c r="P6" s="17" t="n">
        <f aca="false">IF(O6&gt;=Summary!$L$6,20,ROUND(O6/Summary!$L$6*10,1)*2)</f>
        <v>20</v>
      </c>
      <c r="Q6" s="38" t="n">
        <f aca="false">P6-L6</f>
        <v>0</v>
      </c>
      <c r="R6" s="12" t="str">
        <f aca="false">IF(O6&gt;=Summary!$L$6,"75%+ (all benefits)",IF(O6&gt;=Summary!$L$7,"55-74%",IF(O6&gt;=Summary!$L$8,"30-54%","Below 30%")))</f>
        <v>75%+ (all benefits)</v>
      </c>
      <c r="S6" s="39" t="n">
        <f aca="false">MAX(0,ROUNDUP(Summary!$L$6*(G6+Summary!$L$13)-E6,0))</f>
        <v>58</v>
      </c>
      <c r="T6" s="39" t="n">
        <f aca="false">MAX(0,ROUNDUP(Summary!$L$7*(G6+Summary!$L$13)-E6,0))</f>
        <v>0</v>
      </c>
      <c r="U6" s="39" t="n">
        <f aca="false">MAX(0,ROUNDUP(Summary!$L$8*(G6+Summary!$L$13)-E6,0))</f>
        <v>0</v>
      </c>
    </row>
    <row r="7" customFormat="false" ht="15" hidden="false" customHeight="false" outlineLevel="0" collapsed="false">
      <c r="A7" s="40" t="n">
        <v>2</v>
      </c>
      <c r="B7" s="40" t="s">
        <v>25</v>
      </c>
      <c r="C7" s="40" t="s">
        <v>127</v>
      </c>
      <c r="D7" s="41" t="s">
        <v>128</v>
      </c>
      <c r="E7" s="40" t="n">
        <v>253</v>
      </c>
      <c r="F7" s="40" t="n">
        <v>108</v>
      </c>
      <c r="G7" s="40" t="n">
        <v>361</v>
      </c>
      <c r="H7" s="36" t="n">
        <f aca="false">ROUND(E7/G7*100,0)/100</f>
        <v>0.7</v>
      </c>
      <c r="I7" s="12" t="str">
        <f aca="false">IF(H7&gt;=Summary!$L$6,"Eligible","Shortage")</f>
        <v>Shortage</v>
      </c>
      <c r="J7" s="12" t="str">
        <f aca="false">IF(H7&lt;Summary!$L$8,"YES","No")</f>
        <v>No</v>
      </c>
      <c r="K7" s="12" t="str">
        <f aca="false">IF(H7&gt;=Summary!$L$7,"Counted","Not Counted")</f>
        <v>Counted</v>
      </c>
      <c r="L7" s="17" t="n">
        <f aca="false">IF(H7&gt;=Summary!$L$6,20,ROUND(H7/Summary!$L$6*10,1)*2)</f>
        <v>18.6</v>
      </c>
      <c r="M7" s="37" t="n">
        <f aca="false">20-L7</f>
        <v>1.4</v>
      </c>
      <c r="N7" s="12" t="str">
        <f aca="false">IF(H7&gt;=Summary!$L$6,"75%+ (all benefits)",IF(H7&gt;=Summary!$L$7,"55-74%",IF(H7&gt;=Summary!$L$8,"30-54%","Below 30%")))</f>
        <v>55-74%</v>
      </c>
      <c r="O7" s="13" t="n">
        <f aca="false">(E7+Summary!$L$13)/(G7+Summary!$L$13)</f>
        <v>0.772151898734177</v>
      </c>
      <c r="P7" s="17" t="n">
        <f aca="false">IF(O7&gt;=Summary!$L$6,20,ROUND(O7/Summary!$L$6*10,1)*2)</f>
        <v>20</v>
      </c>
      <c r="Q7" s="38" t="n">
        <f aca="false">P7-L7</f>
        <v>1.4</v>
      </c>
      <c r="R7" s="12" t="str">
        <f aca="false">IF(O7&gt;=Summary!$L$6,"75%+ (all benefits)",IF(O7&gt;=Summary!$L$7,"55-74%",IF(O7&gt;=Summary!$L$8,"30-54%","Below 30%")))</f>
        <v>75%+ (all benefits)</v>
      </c>
      <c r="S7" s="39" t="n">
        <f aca="false">MAX(0,ROUNDUP(Summary!$L$6*(G7+Summary!$L$13)-E7,0))</f>
        <v>103</v>
      </c>
      <c r="T7" s="39" t="n">
        <f aca="false">MAX(0,ROUNDUP(Summary!$L$7*(G7+Summary!$L$13)-E7,0))</f>
        <v>8</v>
      </c>
      <c r="U7" s="39" t="n">
        <f aca="false">MAX(0,ROUNDUP(Summary!$L$8*(G7+Summary!$L$13)-E7,0))</f>
        <v>0</v>
      </c>
    </row>
    <row r="8" customFormat="false" ht="15" hidden="false" customHeight="false" outlineLevel="0" collapsed="false">
      <c r="A8" s="12" t="n">
        <v>3</v>
      </c>
      <c r="B8" s="12" t="s">
        <v>25</v>
      </c>
      <c r="C8" s="12" t="s">
        <v>129</v>
      </c>
      <c r="D8" s="32" t="s">
        <v>130</v>
      </c>
      <c r="E8" s="12" t="n">
        <v>285</v>
      </c>
      <c r="F8" s="12" t="n">
        <v>76</v>
      </c>
      <c r="G8" s="12" t="n">
        <v>361</v>
      </c>
      <c r="H8" s="36" t="n">
        <f aca="false">ROUND(E8/G8*100,0)/100</f>
        <v>0.79</v>
      </c>
      <c r="I8" s="12" t="str">
        <f aca="false">IF(H8&gt;=Summary!$L$6,"Eligible","Shortage")</f>
        <v>Eligible</v>
      </c>
      <c r="J8" s="12" t="str">
        <f aca="false">IF(H8&lt;Summary!$L$8,"YES","No")</f>
        <v>No</v>
      </c>
      <c r="K8" s="12" t="str">
        <f aca="false">IF(H8&gt;=Summary!$L$7,"Counted","Not Counted")</f>
        <v>Counted</v>
      </c>
      <c r="L8" s="17" t="n">
        <f aca="false">IF(H8&gt;=Summary!$L$6,20,ROUND(H8/Summary!$L$6*10,1)*2)</f>
        <v>20</v>
      </c>
      <c r="M8" s="37" t="n">
        <f aca="false">20-L8</f>
        <v>0</v>
      </c>
      <c r="N8" s="12" t="str">
        <f aca="false">IF(H8&gt;=Summary!$L$6,"75%+ (all benefits)",IF(H8&gt;=Summary!$L$7,"55-74%",IF(H8&gt;=Summary!$L$8,"30-54%","Below 30%")))</f>
        <v>75%+ (all benefits)</v>
      </c>
      <c r="O8" s="13" t="n">
        <f aca="false">(E8+Summary!$L$13)/(G8+Summary!$L$13)</f>
        <v>0.839662447257384</v>
      </c>
      <c r="P8" s="17" t="n">
        <f aca="false">IF(O8&gt;=Summary!$L$6,20,ROUND(O8/Summary!$L$6*10,1)*2)</f>
        <v>20</v>
      </c>
      <c r="Q8" s="38" t="n">
        <f aca="false">P8-L8</f>
        <v>0</v>
      </c>
      <c r="R8" s="12" t="str">
        <f aca="false">IF(O8&gt;=Summary!$L$6,"75%+ (all benefits)",IF(O8&gt;=Summary!$L$7,"55-74%",IF(O8&gt;=Summary!$L$8,"30-54%","Below 30%")))</f>
        <v>75%+ (all benefits)</v>
      </c>
      <c r="S8" s="39" t="n">
        <f aca="false">MAX(0,ROUNDUP(Summary!$L$6*(G8+Summary!$L$13)-E8,0))</f>
        <v>71</v>
      </c>
      <c r="T8" s="39" t="n">
        <f aca="false">MAX(0,ROUNDUP(Summary!$L$7*(G8+Summary!$L$13)-E8,0))</f>
        <v>0</v>
      </c>
      <c r="U8" s="39" t="n">
        <f aca="false">MAX(0,ROUNDUP(Summary!$L$8*(G8+Summary!$L$13)-E8,0))</f>
        <v>0</v>
      </c>
    </row>
    <row r="9" customFormat="false" ht="15" hidden="false" customHeight="false" outlineLevel="0" collapsed="false">
      <c r="A9" s="40" t="n">
        <v>4</v>
      </c>
      <c r="B9" s="40" t="s">
        <v>25</v>
      </c>
      <c r="C9" s="40" t="s">
        <v>131</v>
      </c>
      <c r="D9" s="41" t="s">
        <v>132</v>
      </c>
      <c r="E9" s="40" t="n">
        <v>254</v>
      </c>
      <c r="F9" s="40" t="n">
        <v>107</v>
      </c>
      <c r="G9" s="40" t="n">
        <v>361</v>
      </c>
      <c r="H9" s="36" t="n">
        <f aca="false">ROUND(E9/G9*100,0)/100</f>
        <v>0.7</v>
      </c>
      <c r="I9" s="12" t="str">
        <f aca="false">IF(H9&gt;=Summary!$L$6,"Eligible","Shortage")</f>
        <v>Shortage</v>
      </c>
      <c r="J9" s="12" t="str">
        <f aca="false">IF(H9&lt;Summary!$L$8,"YES","No")</f>
        <v>No</v>
      </c>
      <c r="K9" s="12" t="str">
        <f aca="false">IF(H9&gt;=Summary!$L$7,"Counted","Not Counted")</f>
        <v>Counted</v>
      </c>
      <c r="L9" s="17" t="n">
        <f aca="false">IF(H9&gt;=Summary!$L$6,20,ROUND(H9/Summary!$L$6*10,1)*2)</f>
        <v>18.6</v>
      </c>
      <c r="M9" s="37" t="n">
        <f aca="false">20-L9</f>
        <v>1.4</v>
      </c>
      <c r="N9" s="12" t="str">
        <f aca="false">IF(H9&gt;=Summary!$L$6,"75%+ (all benefits)",IF(H9&gt;=Summary!$L$7,"55-74%",IF(H9&gt;=Summary!$L$8,"30-54%","Below 30%")))</f>
        <v>55-74%</v>
      </c>
      <c r="O9" s="13" t="n">
        <f aca="false">(E9+Summary!$L$13)/(G9+Summary!$L$13)</f>
        <v>0.774261603375527</v>
      </c>
      <c r="P9" s="17" t="n">
        <f aca="false">IF(O9&gt;=Summary!$L$6,20,ROUND(O9/Summary!$L$6*10,1)*2)</f>
        <v>20</v>
      </c>
      <c r="Q9" s="38" t="n">
        <f aca="false">P9-L9</f>
        <v>1.4</v>
      </c>
      <c r="R9" s="12" t="str">
        <f aca="false">IF(O9&gt;=Summary!$L$6,"75%+ (all benefits)",IF(O9&gt;=Summary!$L$7,"55-74%",IF(O9&gt;=Summary!$L$8,"30-54%","Below 30%")))</f>
        <v>75%+ (all benefits)</v>
      </c>
      <c r="S9" s="39" t="n">
        <f aca="false">MAX(0,ROUNDUP(Summary!$L$6*(G9+Summary!$L$13)-E9,0))</f>
        <v>102</v>
      </c>
      <c r="T9" s="39" t="n">
        <f aca="false">MAX(0,ROUNDUP(Summary!$L$7*(G9+Summary!$L$13)-E9,0))</f>
        <v>7</v>
      </c>
      <c r="U9" s="39" t="n">
        <f aca="false">MAX(0,ROUNDUP(Summary!$L$8*(G9+Summary!$L$13)-E9,0))</f>
        <v>0</v>
      </c>
    </row>
    <row r="10" customFormat="false" ht="15" hidden="false" customHeight="false" outlineLevel="0" collapsed="false">
      <c r="A10" s="12" t="n">
        <v>5</v>
      </c>
      <c r="B10" s="12" t="s">
        <v>25</v>
      </c>
      <c r="C10" s="12" t="s">
        <v>133</v>
      </c>
      <c r="D10" s="32" t="s">
        <v>134</v>
      </c>
      <c r="E10" s="12" t="n">
        <v>231</v>
      </c>
      <c r="F10" s="12" t="n">
        <v>130</v>
      </c>
      <c r="G10" s="12" t="n">
        <v>361</v>
      </c>
      <c r="H10" s="36" t="n">
        <f aca="false">ROUND(E10/G10*100,0)/100</f>
        <v>0.64</v>
      </c>
      <c r="I10" s="12" t="str">
        <f aca="false">IF(H10&gt;=Summary!$L$6,"Eligible","Shortage")</f>
        <v>Shortage</v>
      </c>
      <c r="J10" s="12" t="str">
        <f aca="false">IF(H10&lt;Summary!$L$8,"YES","No")</f>
        <v>No</v>
      </c>
      <c r="K10" s="12" t="str">
        <f aca="false">IF(H10&gt;=Summary!$L$7,"Counted","Not Counted")</f>
        <v>Counted</v>
      </c>
      <c r="L10" s="17" t="n">
        <f aca="false">IF(H10&gt;=Summary!$L$6,20,ROUND(H10/Summary!$L$6*10,1)*2)</f>
        <v>17</v>
      </c>
      <c r="M10" s="37" t="n">
        <f aca="false">20-L10</f>
        <v>3</v>
      </c>
      <c r="N10" s="12" t="str">
        <f aca="false">IF(H10&gt;=Summary!$L$6,"75%+ (all benefits)",IF(H10&gt;=Summary!$L$7,"55-74%",IF(H10&gt;=Summary!$L$8,"30-54%","Below 30%")))</f>
        <v>55-74%</v>
      </c>
      <c r="O10" s="13" t="n">
        <f aca="false">(E10+Summary!$L$13)/(G10+Summary!$L$13)</f>
        <v>0.725738396624473</v>
      </c>
      <c r="P10" s="17" t="n">
        <f aca="false">IF(O10&gt;=Summary!$L$6,20,ROUND(O10/Summary!$L$6*10,1)*2)</f>
        <v>19.4</v>
      </c>
      <c r="Q10" s="38" t="n">
        <f aca="false">P10-L10</f>
        <v>2.4</v>
      </c>
      <c r="R10" s="12" t="str">
        <f aca="false">IF(O10&gt;=Summary!$L$6,"75%+ (all benefits)",IF(O10&gt;=Summary!$L$7,"55-74%",IF(O10&gt;=Summary!$L$8,"30-54%","Below 30%")))</f>
        <v>55-74%</v>
      </c>
      <c r="S10" s="39" t="n">
        <f aca="false">MAX(0,ROUNDUP(Summary!$L$6*(G10+Summary!$L$13)-E10,0))</f>
        <v>125</v>
      </c>
      <c r="T10" s="39" t="n">
        <f aca="false">MAX(0,ROUNDUP(Summary!$L$7*(G10+Summary!$L$13)-E10,0))</f>
        <v>30</v>
      </c>
      <c r="U10" s="39" t="n">
        <f aca="false">MAX(0,ROUNDUP(Summary!$L$8*(G10+Summary!$L$13)-E10,0))</f>
        <v>0</v>
      </c>
    </row>
    <row r="11" customFormat="false" ht="15" hidden="false" customHeight="false" outlineLevel="0" collapsed="false">
      <c r="A11" s="40" t="n">
        <v>6</v>
      </c>
      <c r="B11" s="40" t="s">
        <v>25</v>
      </c>
      <c r="C11" s="40" t="s">
        <v>135</v>
      </c>
      <c r="D11" s="41" t="s">
        <v>136</v>
      </c>
      <c r="E11" s="40" t="n">
        <v>174</v>
      </c>
      <c r="F11" s="40" t="n">
        <v>187</v>
      </c>
      <c r="G11" s="40" t="n">
        <v>361</v>
      </c>
      <c r="H11" s="36" t="n">
        <f aca="false">ROUND(E11/G11*100,0)/100</f>
        <v>0.48</v>
      </c>
      <c r="I11" s="12" t="str">
        <f aca="false">IF(H11&gt;=Summary!$L$6,"Eligible","Shortage")</f>
        <v>Shortage</v>
      </c>
      <c r="J11" s="12" t="str">
        <f aca="false">IF(H11&lt;Summary!$L$8,"YES","No")</f>
        <v>No</v>
      </c>
      <c r="K11" s="12" t="str">
        <f aca="false">IF(H11&gt;=Summary!$L$7,"Counted","Not Counted")</f>
        <v>Not Counted</v>
      </c>
      <c r="L11" s="17" t="n">
        <f aca="false">IF(H11&gt;=Summary!$L$6,20,ROUND(H11/Summary!$L$6*10,1)*2)</f>
        <v>12.8</v>
      </c>
      <c r="M11" s="37" t="n">
        <f aca="false">20-L11</f>
        <v>7.2</v>
      </c>
      <c r="N11" s="12" t="str">
        <f aca="false">IF(H11&gt;=Summary!$L$6,"75%+ (all benefits)",IF(H11&gt;=Summary!$L$7,"55-74%",IF(H11&gt;=Summary!$L$8,"30-54%","Below 30%")))</f>
        <v>30-54%</v>
      </c>
      <c r="O11" s="13" t="n">
        <f aca="false">(E11+Summary!$L$13)/(G11+Summary!$L$13)</f>
        <v>0.605485232067511</v>
      </c>
      <c r="P11" s="17" t="n">
        <f aca="false">IF(O11&gt;=Summary!$L$6,20,ROUND(O11/Summary!$L$6*10,1)*2)</f>
        <v>16.2</v>
      </c>
      <c r="Q11" s="38" t="n">
        <f aca="false">P11-L11</f>
        <v>3.4</v>
      </c>
      <c r="R11" s="12" t="str">
        <f aca="false">IF(O11&gt;=Summary!$L$6,"75%+ (all benefits)",IF(O11&gt;=Summary!$L$7,"55-74%",IF(O11&gt;=Summary!$L$8,"30-54%","Below 30%")))</f>
        <v>55-74%</v>
      </c>
      <c r="S11" s="39" t="n">
        <f aca="false">MAX(0,ROUNDUP(Summary!$L$6*(G11+Summary!$L$13)-E11,0))</f>
        <v>182</v>
      </c>
      <c r="T11" s="39" t="n">
        <f aca="false">MAX(0,ROUNDUP(Summary!$L$7*(G11+Summary!$L$13)-E11,0))</f>
        <v>87</v>
      </c>
      <c r="U11" s="39" t="n">
        <f aca="false">MAX(0,ROUNDUP(Summary!$L$8*(G11+Summary!$L$13)-E11,0))</f>
        <v>0</v>
      </c>
    </row>
    <row r="12" customFormat="false" ht="15" hidden="false" customHeight="false" outlineLevel="0" collapsed="false">
      <c r="A12" s="12" t="n">
        <v>7</v>
      </c>
      <c r="B12" s="12" t="s">
        <v>25</v>
      </c>
      <c r="C12" s="12" t="s">
        <v>137</v>
      </c>
      <c r="D12" s="32" t="s">
        <v>138</v>
      </c>
      <c r="E12" s="12" t="n">
        <v>278</v>
      </c>
      <c r="F12" s="12" t="n">
        <v>83</v>
      </c>
      <c r="G12" s="12" t="n">
        <v>361</v>
      </c>
      <c r="H12" s="36" t="n">
        <f aca="false">ROUND(E12/G12*100,0)/100</f>
        <v>0.77</v>
      </c>
      <c r="I12" s="12" t="str">
        <f aca="false">IF(H12&gt;=Summary!$L$6,"Eligible","Shortage")</f>
        <v>Eligible</v>
      </c>
      <c r="J12" s="12" t="str">
        <f aca="false">IF(H12&lt;Summary!$L$8,"YES","No")</f>
        <v>No</v>
      </c>
      <c r="K12" s="12" t="str">
        <f aca="false">IF(H12&gt;=Summary!$L$7,"Counted","Not Counted")</f>
        <v>Counted</v>
      </c>
      <c r="L12" s="17" t="n">
        <f aca="false">IF(H12&gt;=Summary!$L$6,20,ROUND(H12/Summary!$L$6*10,1)*2)</f>
        <v>20</v>
      </c>
      <c r="M12" s="37" t="n">
        <f aca="false">20-L12</f>
        <v>0</v>
      </c>
      <c r="N12" s="12" t="str">
        <f aca="false">IF(H12&gt;=Summary!$L$6,"75%+ (all benefits)",IF(H12&gt;=Summary!$L$7,"55-74%",IF(H12&gt;=Summary!$L$8,"30-54%","Below 30%")))</f>
        <v>75%+ (all benefits)</v>
      </c>
      <c r="O12" s="13" t="n">
        <f aca="false">(E12+Summary!$L$13)/(G12+Summary!$L$13)</f>
        <v>0.824894514767933</v>
      </c>
      <c r="P12" s="17" t="n">
        <f aca="false">IF(O12&gt;=Summary!$L$6,20,ROUND(O12/Summary!$L$6*10,1)*2)</f>
        <v>20</v>
      </c>
      <c r="Q12" s="38" t="n">
        <f aca="false">P12-L12</f>
        <v>0</v>
      </c>
      <c r="R12" s="12" t="str">
        <f aca="false">IF(O12&gt;=Summary!$L$6,"75%+ (all benefits)",IF(O12&gt;=Summary!$L$7,"55-74%",IF(O12&gt;=Summary!$L$8,"30-54%","Below 30%")))</f>
        <v>75%+ (all benefits)</v>
      </c>
      <c r="S12" s="39" t="n">
        <f aca="false">MAX(0,ROUNDUP(Summary!$L$6*(G12+Summary!$L$13)-E12,0))</f>
        <v>78</v>
      </c>
      <c r="T12" s="39" t="n">
        <f aca="false">MAX(0,ROUNDUP(Summary!$L$7*(G12+Summary!$L$13)-E12,0))</f>
        <v>0</v>
      </c>
      <c r="U12" s="39" t="n">
        <f aca="false">MAX(0,ROUNDUP(Summary!$L$8*(G12+Summary!$L$13)-E12,0))</f>
        <v>0</v>
      </c>
    </row>
    <row r="13" customFormat="false" ht="15" hidden="false" customHeight="false" outlineLevel="0" collapsed="false">
      <c r="A13" s="40" t="n">
        <v>8</v>
      </c>
      <c r="B13" s="40" t="s">
        <v>25</v>
      </c>
      <c r="C13" s="40" t="s">
        <v>139</v>
      </c>
      <c r="D13" s="41" t="s">
        <v>140</v>
      </c>
      <c r="E13" s="40" t="n">
        <v>181</v>
      </c>
      <c r="F13" s="40" t="n">
        <v>180</v>
      </c>
      <c r="G13" s="40" t="n">
        <v>361</v>
      </c>
      <c r="H13" s="36" t="n">
        <f aca="false">ROUND(E13/G13*100,0)/100</f>
        <v>0.5</v>
      </c>
      <c r="I13" s="12" t="str">
        <f aca="false">IF(H13&gt;=Summary!$L$6,"Eligible","Shortage")</f>
        <v>Shortage</v>
      </c>
      <c r="J13" s="12" t="str">
        <f aca="false">IF(H13&lt;Summary!$L$8,"YES","No")</f>
        <v>No</v>
      </c>
      <c r="K13" s="12" t="str">
        <f aca="false">IF(H13&gt;=Summary!$L$7,"Counted","Not Counted")</f>
        <v>Not Counted</v>
      </c>
      <c r="L13" s="17" t="n">
        <f aca="false">IF(H13&gt;=Summary!$L$6,20,ROUND(H13/Summary!$L$6*10,1)*2)</f>
        <v>13.4</v>
      </c>
      <c r="M13" s="37" t="n">
        <f aca="false">20-L13</f>
        <v>6.6</v>
      </c>
      <c r="N13" s="12" t="str">
        <f aca="false">IF(H13&gt;=Summary!$L$6,"75%+ (all benefits)",IF(H13&gt;=Summary!$L$7,"55-74%",IF(H13&gt;=Summary!$L$8,"30-54%","Below 30%")))</f>
        <v>30-54%</v>
      </c>
      <c r="O13" s="13" t="n">
        <f aca="false">(E13+Summary!$L$13)/(G13+Summary!$L$13)</f>
        <v>0.620253164556962</v>
      </c>
      <c r="P13" s="17" t="n">
        <f aca="false">IF(O13&gt;=Summary!$L$6,20,ROUND(O13/Summary!$L$6*10,1)*2)</f>
        <v>16.6</v>
      </c>
      <c r="Q13" s="38" t="n">
        <f aca="false">P13-L13</f>
        <v>3.2</v>
      </c>
      <c r="R13" s="12" t="str">
        <f aca="false">IF(O13&gt;=Summary!$L$6,"75%+ (all benefits)",IF(O13&gt;=Summary!$L$7,"55-74%",IF(O13&gt;=Summary!$L$8,"30-54%","Below 30%")))</f>
        <v>55-74%</v>
      </c>
      <c r="S13" s="39" t="n">
        <f aca="false">MAX(0,ROUNDUP(Summary!$L$6*(G13+Summary!$L$13)-E13,0))</f>
        <v>175</v>
      </c>
      <c r="T13" s="39" t="n">
        <f aca="false">MAX(0,ROUNDUP(Summary!$L$7*(G13+Summary!$L$13)-E13,0))</f>
        <v>80</v>
      </c>
      <c r="U13" s="39" t="n">
        <f aca="false">MAX(0,ROUNDUP(Summary!$L$8*(G13+Summary!$L$13)-E13,0))</f>
        <v>0</v>
      </c>
    </row>
    <row r="14" customFormat="false" ht="15" hidden="false" customHeight="false" outlineLevel="0" collapsed="false">
      <c r="A14" s="12" t="n">
        <v>9</v>
      </c>
      <c r="B14" s="12" t="s">
        <v>25</v>
      </c>
      <c r="C14" s="12" t="s">
        <v>141</v>
      </c>
      <c r="D14" s="32" t="s">
        <v>142</v>
      </c>
      <c r="E14" s="12" t="n">
        <v>259</v>
      </c>
      <c r="F14" s="12" t="n">
        <v>102</v>
      </c>
      <c r="G14" s="12" t="n">
        <v>361</v>
      </c>
      <c r="H14" s="36" t="n">
        <f aca="false">ROUND(E14/G14*100,0)/100</f>
        <v>0.72</v>
      </c>
      <c r="I14" s="12" t="str">
        <f aca="false">IF(H14&gt;=Summary!$L$6,"Eligible","Shortage")</f>
        <v>Shortage</v>
      </c>
      <c r="J14" s="12" t="str">
        <f aca="false">IF(H14&lt;Summary!$L$8,"YES","No")</f>
        <v>No</v>
      </c>
      <c r="K14" s="12" t="str">
        <f aca="false">IF(H14&gt;=Summary!$L$7,"Counted","Not Counted")</f>
        <v>Counted</v>
      </c>
      <c r="L14" s="17" t="n">
        <f aca="false">IF(H14&gt;=Summary!$L$6,20,ROUND(H14/Summary!$L$6*10,1)*2)</f>
        <v>19.2</v>
      </c>
      <c r="M14" s="37" t="n">
        <f aca="false">20-L14</f>
        <v>0.800000000000001</v>
      </c>
      <c r="N14" s="12" t="str">
        <f aca="false">IF(H14&gt;=Summary!$L$6,"75%+ (all benefits)",IF(H14&gt;=Summary!$L$7,"55-74%",IF(H14&gt;=Summary!$L$8,"30-54%","Below 30%")))</f>
        <v>55-74%</v>
      </c>
      <c r="O14" s="13" t="n">
        <f aca="false">(E14+Summary!$L$13)/(G14+Summary!$L$13)</f>
        <v>0.784810126582278</v>
      </c>
      <c r="P14" s="17" t="n">
        <f aca="false">IF(O14&gt;=Summary!$L$6,20,ROUND(O14/Summary!$L$6*10,1)*2)</f>
        <v>20</v>
      </c>
      <c r="Q14" s="38" t="n">
        <f aca="false">P14-L14</f>
        <v>0.800000000000001</v>
      </c>
      <c r="R14" s="12" t="str">
        <f aca="false">IF(O14&gt;=Summary!$L$6,"75%+ (all benefits)",IF(O14&gt;=Summary!$L$7,"55-74%",IF(O14&gt;=Summary!$L$8,"30-54%","Below 30%")))</f>
        <v>75%+ (all benefits)</v>
      </c>
      <c r="S14" s="39" t="n">
        <f aca="false">MAX(0,ROUNDUP(Summary!$L$6*(G14+Summary!$L$13)-E14,0))</f>
        <v>97</v>
      </c>
      <c r="T14" s="39" t="n">
        <f aca="false">MAX(0,ROUNDUP(Summary!$L$7*(G14+Summary!$L$13)-E14,0))</f>
        <v>2</v>
      </c>
      <c r="U14" s="39" t="n">
        <f aca="false">MAX(0,ROUNDUP(Summary!$L$8*(G14+Summary!$L$13)-E14,0))</f>
        <v>0</v>
      </c>
    </row>
    <row r="15" customFormat="false" ht="15" hidden="false" customHeight="false" outlineLevel="0" collapsed="false">
      <c r="A15" s="40" t="n">
        <v>10</v>
      </c>
      <c r="B15" s="40" t="s">
        <v>25</v>
      </c>
      <c r="C15" s="40" t="s">
        <v>143</v>
      </c>
      <c r="D15" s="41" t="s">
        <v>144</v>
      </c>
      <c r="E15" s="40" t="n">
        <v>217</v>
      </c>
      <c r="F15" s="40" t="n">
        <v>144</v>
      </c>
      <c r="G15" s="40" t="n">
        <v>361</v>
      </c>
      <c r="H15" s="36" t="n">
        <f aca="false">ROUND(E15/G15*100,0)/100</f>
        <v>0.6</v>
      </c>
      <c r="I15" s="12" t="str">
        <f aca="false">IF(H15&gt;=Summary!$L$6,"Eligible","Shortage")</f>
        <v>Shortage</v>
      </c>
      <c r="J15" s="12" t="str">
        <f aca="false">IF(H15&lt;Summary!$L$8,"YES","No")</f>
        <v>No</v>
      </c>
      <c r="K15" s="12" t="str">
        <f aca="false">IF(H15&gt;=Summary!$L$7,"Counted","Not Counted")</f>
        <v>Counted</v>
      </c>
      <c r="L15" s="17" t="n">
        <f aca="false">IF(H15&gt;=Summary!$L$6,20,ROUND(H15/Summary!$L$6*10,1)*2)</f>
        <v>16</v>
      </c>
      <c r="M15" s="37" t="n">
        <f aca="false">20-L15</f>
        <v>4</v>
      </c>
      <c r="N15" s="12" t="str">
        <f aca="false">IF(H15&gt;=Summary!$L$6,"75%+ (all benefits)",IF(H15&gt;=Summary!$L$7,"55-74%",IF(H15&gt;=Summary!$L$8,"30-54%","Below 30%")))</f>
        <v>55-74%</v>
      </c>
      <c r="O15" s="13" t="n">
        <f aca="false">(E15+Summary!$L$13)/(G15+Summary!$L$13)</f>
        <v>0.69620253164557</v>
      </c>
      <c r="P15" s="17" t="n">
        <f aca="false">IF(O15&gt;=Summary!$L$6,20,ROUND(O15/Summary!$L$6*10,1)*2)</f>
        <v>18.6</v>
      </c>
      <c r="Q15" s="38" t="n">
        <f aca="false">P15-L15</f>
        <v>2.6</v>
      </c>
      <c r="R15" s="12" t="str">
        <f aca="false">IF(O15&gt;=Summary!$L$6,"75%+ (all benefits)",IF(O15&gt;=Summary!$L$7,"55-74%",IF(O15&gt;=Summary!$L$8,"30-54%","Below 30%")))</f>
        <v>55-74%</v>
      </c>
      <c r="S15" s="39" t="n">
        <f aca="false">MAX(0,ROUNDUP(Summary!$L$6*(G15+Summary!$L$13)-E15,0))</f>
        <v>139</v>
      </c>
      <c r="T15" s="39" t="n">
        <f aca="false">MAX(0,ROUNDUP(Summary!$L$7*(G15+Summary!$L$13)-E15,0))</f>
        <v>44</v>
      </c>
      <c r="U15" s="39" t="n">
        <f aca="false">MAX(0,ROUNDUP(Summary!$L$8*(G15+Summary!$L$13)-E15,0))</f>
        <v>0</v>
      </c>
    </row>
    <row r="16" customFormat="false" ht="15" hidden="false" customHeight="false" outlineLevel="0" collapsed="false">
      <c r="A16" s="12" t="n">
        <v>11</v>
      </c>
      <c r="B16" s="12" t="s">
        <v>25</v>
      </c>
      <c r="C16" s="12" t="s">
        <v>145</v>
      </c>
      <c r="D16" s="32" t="s">
        <v>146</v>
      </c>
      <c r="E16" s="12" t="n">
        <v>260</v>
      </c>
      <c r="F16" s="12" t="n">
        <v>101</v>
      </c>
      <c r="G16" s="12" t="n">
        <v>361</v>
      </c>
      <c r="H16" s="36" t="n">
        <f aca="false">ROUND(E16/G16*100,0)/100</f>
        <v>0.72</v>
      </c>
      <c r="I16" s="12" t="str">
        <f aca="false">IF(H16&gt;=Summary!$L$6,"Eligible","Shortage")</f>
        <v>Shortage</v>
      </c>
      <c r="J16" s="12" t="str">
        <f aca="false">IF(H16&lt;Summary!$L$8,"YES","No")</f>
        <v>No</v>
      </c>
      <c r="K16" s="12" t="str">
        <f aca="false">IF(H16&gt;=Summary!$L$7,"Counted","Not Counted")</f>
        <v>Counted</v>
      </c>
      <c r="L16" s="17" t="n">
        <f aca="false">IF(H16&gt;=Summary!$L$6,20,ROUND(H16/Summary!$L$6*10,1)*2)</f>
        <v>19.2</v>
      </c>
      <c r="M16" s="37" t="n">
        <f aca="false">20-L16</f>
        <v>0.800000000000001</v>
      </c>
      <c r="N16" s="12" t="str">
        <f aca="false">IF(H16&gt;=Summary!$L$6,"75%+ (all benefits)",IF(H16&gt;=Summary!$L$7,"55-74%",IF(H16&gt;=Summary!$L$8,"30-54%","Below 30%")))</f>
        <v>55-74%</v>
      </c>
      <c r="O16" s="13" t="n">
        <f aca="false">(E16+Summary!$L$13)/(G16+Summary!$L$13)</f>
        <v>0.786919831223629</v>
      </c>
      <c r="P16" s="17" t="n">
        <f aca="false">IF(O16&gt;=Summary!$L$6,20,ROUND(O16/Summary!$L$6*10,1)*2)</f>
        <v>20</v>
      </c>
      <c r="Q16" s="38" t="n">
        <f aca="false">P16-L16</f>
        <v>0.800000000000001</v>
      </c>
      <c r="R16" s="12" t="str">
        <f aca="false">IF(O16&gt;=Summary!$L$6,"75%+ (all benefits)",IF(O16&gt;=Summary!$L$7,"55-74%",IF(O16&gt;=Summary!$L$8,"30-54%","Below 30%")))</f>
        <v>75%+ (all benefits)</v>
      </c>
      <c r="S16" s="39" t="n">
        <f aca="false">MAX(0,ROUNDUP(Summary!$L$6*(G16+Summary!$L$13)-E16,0))</f>
        <v>96</v>
      </c>
      <c r="T16" s="39" t="n">
        <f aca="false">MAX(0,ROUNDUP(Summary!$L$7*(G16+Summary!$L$13)-E16,0))</f>
        <v>1</v>
      </c>
      <c r="U16" s="39" t="n">
        <f aca="false">MAX(0,ROUNDUP(Summary!$L$8*(G16+Summary!$L$13)-E16,0))</f>
        <v>0</v>
      </c>
    </row>
    <row r="17" customFormat="false" ht="15" hidden="false" customHeight="false" outlineLevel="0" collapsed="false">
      <c r="A17" s="40" t="n">
        <v>12</v>
      </c>
      <c r="B17" s="40" t="s">
        <v>25</v>
      </c>
      <c r="C17" s="40" t="s">
        <v>147</v>
      </c>
      <c r="D17" s="41" t="s">
        <v>148</v>
      </c>
      <c r="E17" s="40" t="n">
        <v>264</v>
      </c>
      <c r="F17" s="40" t="n">
        <v>97</v>
      </c>
      <c r="G17" s="40" t="n">
        <v>361</v>
      </c>
      <c r="H17" s="36" t="n">
        <f aca="false">ROUND(E17/G17*100,0)/100</f>
        <v>0.73</v>
      </c>
      <c r="I17" s="12" t="str">
        <f aca="false">IF(H17&gt;=Summary!$L$6,"Eligible","Shortage")</f>
        <v>Shortage</v>
      </c>
      <c r="J17" s="12" t="str">
        <f aca="false">IF(H17&lt;Summary!$L$8,"YES","No")</f>
        <v>No</v>
      </c>
      <c r="K17" s="12" t="str">
        <f aca="false">IF(H17&gt;=Summary!$L$7,"Counted","Not Counted")</f>
        <v>Counted</v>
      </c>
      <c r="L17" s="17" t="n">
        <f aca="false">IF(H17&gt;=Summary!$L$6,20,ROUND(H17/Summary!$L$6*10,1)*2)</f>
        <v>19.4</v>
      </c>
      <c r="M17" s="37" t="n">
        <f aca="false">20-L17</f>
        <v>0.600000000000001</v>
      </c>
      <c r="N17" s="12" t="str">
        <f aca="false">IF(H17&gt;=Summary!$L$6,"75%+ (all benefits)",IF(H17&gt;=Summary!$L$7,"55-74%",IF(H17&gt;=Summary!$L$8,"30-54%","Below 30%")))</f>
        <v>55-74%</v>
      </c>
      <c r="O17" s="13" t="n">
        <f aca="false">(E17+Summary!$L$13)/(G17+Summary!$L$13)</f>
        <v>0.79535864978903</v>
      </c>
      <c r="P17" s="17" t="n">
        <f aca="false">IF(O17&gt;=Summary!$L$6,20,ROUND(O17/Summary!$L$6*10,1)*2)</f>
        <v>20</v>
      </c>
      <c r="Q17" s="38" t="n">
        <f aca="false">P17-L17</f>
        <v>0.600000000000001</v>
      </c>
      <c r="R17" s="12" t="str">
        <f aca="false">IF(O17&gt;=Summary!$L$6,"75%+ (all benefits)",IF(O17&gt;=Summary!$L$7,"55-74%",IF(O17&gt;=Summary!$L$8,"30-54%","Below 30%")))</f>
        <v>75%+ (all benefits)</v>
      </c>
      <c r="S17" s="39" t="n">
        <f aca="false">MAX(0,ROUNDUP(Summary!$L$6*(G17+Summary!$L$13)-E17,0))</f>
        <v>92</v>
      </c>
      <c r="T17" s="39" t="n">
        <f aca="false">MAX(0,ROUNDUP(Summary!$L$7*(G17+Summary!$L$13)-E17,0))</f>
        <v>0</v>
      </c>
      <c r="U17" s="39" t="n">
        <f aca="false">MAX(0,ROUNDUP(Summary!$L$8*(G17+Summary!$L$13)-E17,0))</f>
        <v>0</v>
      </c>
    </row>
    <row r="18" customFormat="false" ht="15" hidden="false" customHeight="false" outlineLevel="0" collapsed="false">
      <c r="A18" s="12" t="n">
        <v>13</v>
      </c>
      <c r="B18" s="12" t="s">
        <v>25</v>
      </c>
      <c r="C18" s="12" t="s">
        <v>149</v>
      </c>
      <c r="D18" s="32" t="s">
        <v>150</v>
      </c>
      <c r="E18" s="12" t="n">
        <v>298</v>
      </c>
      <c r="F18" s="12" t="n">
        <v>63</v>
      </c>
      <c r="G18" s="12" t="n">
        <v>361</v>
      </c>
      <c r="H18" s="36" t="n">
        <f aca="false">ROUND(E18/G18*100,0)/100</f>
        <v>0.83</v>
      </c>
      <c r="I18" s="12" t="str">
        <f aca="false">IF(H18&gt;=Summary!$L$6,"Eligible","Shortage")</f>
        <v>Eligible</v>
      </c>
      <c r="J18" s="12" t="str">
        <f aca="false">IF(H18&lt;Summary!$L$8,"YES","No")</f>
        <v>No</v>
      </c>
      <c r="K18" s="12" t="str">
        <f aca="false">IF(H18&gt;=Summary!$L$7,"Counted","Not Counted")</f>
        <v>Counted</v>
      </c>
      <c r="L18" s="17" t="n">
        <f aca="false">IF(H18&gt;=Summary!$L$6,20,ROUND(H18/Summary!$L$6*10,1)*2)</f>
        <v>20</v>
      </c>
      <c r="M18" s="37" t="n">
        <f aca="false">20-L18</f>
        <v>0</v>
      </c>
      <c r="N18" s="12" t="str">
        <f aca="false">IF(H18&gt;=Summary!$L$6,"75%+ (all benefits)",IF(H18&gt;=Summary!$L$7,"55-74%",IF(H18&gt;=Summary!$L$8,"30-54%","Below 30%")))</f>
        <v>75%+ (all benefits)</v>
      </c>
      <c r="O18" s="13" t="n">
        <f aca="false">(E18+Summary!$L$13)/(G18+Summary!$L$13)</f>
        <v>0.867088607594937</v>
      </c>
      <c r="P18" s="17" t="n">
        <f aca="false">IF(O18&gt;=Summary!$L$6,20,ROUND(O18/Summary!$L$6*10,1)*2)</f>
        <v>20</v>
      </c>
      <c r="Q18" s="38" t="n">
        <f aca="false">P18-L18</f>
        <v>0</v>
      </c>
      <c r="R18" s="12" t="str">
        <f aca="false">IF(O18&gt;=Summary!$L$6,"75%+ (all benefits)",IF(O18&gt;=Summary!$L$7,"55-74%",IF(O18&gt;=Summary!$L$8,"30-54%","Below 30%")))</f>
        <v>75%+ (all benefits)</v>
      </c>
      <c r="S18" s="39" t="n">
        <f aca="false">MAX(0,ROUNDUP(Summary!$L$6*(G18+Summary!$L$13)-E18,0))</f>
        <v>58</v>
      </c>
      <c r="T18" s="39" t="n">
        <f aca="false">MAX(0,ROUNDUP(Summary!$L$7*(G18+Summary!$L$13)-E18,0))</f>
        <v>0</v>
      </c>
      <c r="U18" s="39" t="n">
        <f aca="false">MAX(0,ROUNDUP(Summary!$L$8*(G18+Summary!$L$13)-E18,0))</f>
        <v>0</v>
      </c>
    </row>
    <row r="19" customFormat="false" ht="15" hidden="false" customHeight="false" outlineLevel="0" collapsed="false">
      <c r="A19" s="40" t="n">
        <v>14</v>
      </c>
      <c r="B19" s="40" t="s">
        <v>25</v>
      </c>
      <c r="C19" s="40" t="s">
        <v>151</v>
      </c>
      <c r="D19" s="41" t="s">
        <v>152</v>
      </c>
      <c r="E19" s="40" t="n">
        <v>283</v>
      </c>
      <c r="F19" s="40" t="n">
        <v>78</v>
      </c>
      <c r="G19" s="40" t="n">
        <v>361</v>
      </c>
      <c r="H19" s="36" t="n">
        <f aca="false">ROUND(E19/G19*100,0)/100</f>
        <v>0.78</v>
      </c>
      <c r="I19" s="12" t="str">
        <f aca="false">IF(H19&gt;=Summary!$L$6,"Eligible","Shortage")</f>
        <v>Eligible</v>
      </c>
      <c r="J19" s="12" t="str">
        <f aca="false">IF(H19&lt;Summary!$L$8,"YES","No")</f>
        <v>No</v>
      </c>
      <c r="K19" s="12" t="str">
        <f aca="false">IF(H19&gt;=Summary!$L$7,"Counted","Not Counted")</f>
        <v>Counted</v>
      </c>
      <c r="L19" s="17" t="n">
        <f aca="false">IF(H19&gt;=Summary!$L$6,20,ROUND(H19/Summary!$L$6*10,1)*2)</f>
        <v>20</v>
      </c>
      <c r="M19" s="37" t="n">
        <f aca="false">20-L19</f>
        <v>0</v>
      </c>
      <c r="N19" s="12" t="str">
        <f aca="false">IF(H19&gt;=Summary!$L$6,"75%+ (all benefits)",IF(H19&gt;=Summary!$L$7,"55-74%",IF(H19&gt;=Summary!$L$8,"30-54%","Below 30%")))</f>
        <v>75%+ (all benefits)</v>
      </c>
      <c r="O19" s="13" t="n">
        <f aca="false">(E19+Summary!$L$13)/(G19+Summary!$L$13)</f>
        <v>0.835443037974684</v>
      </c>
      <c r="P19" s="17" t="n">
        <f aca="false">IF(O19&gt;=Summary!$L$6,20,ROUND(O19/Summary!$L$6*10,1)*2)</f>
        <v>20</v>
      </c>
      <c r="Q19" s="38" t="n">
        <f aca="false">P19-L19</f>
        <v>0</v>
      </c>
      <c r="R19" s="12" t="str">
        <f aca="false">IF(O19&gt;=Summary!$L$6,"75%+ (all benefits)",IF(O19&gt;=Summary!$L$7,"55-74%",IF(O19&gt;=Summary!$L$8,"30-54%","Below 30%")))</f>
        <v>75%+ (all benefits)</v>
      </c>
      <c r="S19" s="39" t="n">
        <f aca="false">MAX(0,ROUNDUP(Summary!$L$6*(G19+Summary!$L$13)-E19,0))</f>
        <v>73</v>
      </c>
      <c r="T19" s="39" t="n">
        <f aca="false">MAX(0,ROUNDUP(Summary!$L$7*(G19+Summary!$L$13)-E19,0))</f>
        <v>0</v>
      </c>
      <c r="U19" s="39" t="n">
        <f aca="false">MAX(0,ROUNDUP(Summary!$L$8*(G19+Summary!$L$13)-E19,0))</f>
        <v>0</v>
      </c>
    </row>
    <row r="20" customFormat="false" ht="15" hidden="false" customHeight="false" outlineLevel="0" collapsed="false">
      <c r="A20" s="12" t="n">
        <v>15</v>
      </c>
      <c r="B20" s="12" t="s">
        <v>25</v>
      </c>
      <c r="C20" s="12" t="s">
        <v>61</v>
      </c>
      <c r="D20" s="32" t="s">
        <v>62</v>
      </c>
      <c r="E20" s="12" t="n">
        <v>70</v>
      </c>
      <c r="F20" s="12" t="n">
        <v>291</v>
      </c>
      <c r="G20" s="12" t="n">
        <v>361</v>
      </c>
      <c r="H20" s="36" t="n">
        <f aca="false">ROUND(E20/G20*100,0)/100</f>
        <v>0.19</v>
      </c>
      <c r="I20" s="12" t="str">
        <f aca="false">IF(H20&gt;=Summary!$L$6,"Eligible","Shortage")</f>
        <v>Shortage</v>
      </c>
      <c r="J20" s="12" t="str">
        <f aca="false">IF(H20&lt;Summary!$L$8,"YES","No")</f>
        <v>YES</v>
      </c>
      <c r="K20" s="12" t="str">
        <f aca="false">IF(H20&gt;=Summary!$L$7,"Counted","Not Counted")</f>
        <v>Not Counted</v>
      </c>
      <c r="L20" s="17" t="n">
        <f aca="false">IF(H20&gt;=Summary!$L$6,20,ROUND(H20/Summary!$L$6*10,1)*2)</f>
        <v>5</v>
      </c>
      <c r="M20" s="37" t="n">
        <f aca="false">20-L20</f>
        <v>15</v>
      </c>
      <c r="N20" s="12" t="str">
        <f aca="false">IF(H20&gt;=Summary!$L$6,"75%+ (all benefits)",IF(H20&gt;=Summary!$L$7,"55-74%",IF(H20&gt;=Summary!$L$8,"30-54%","Below 30%")))</f>
        <v>Below 30%</v>
      </c>
      <c r="O20" s="13" t="n">
        <f aca="false">(E20+Summary!$L$13)/(G20+Summary!$L$13)</f>
        <v>0.386075949367089</v>
      </c>
      <c r="P20" s="17" t="n">
        <f aca="false">IF(O20&gt;=Summary!$L$6,20,ROUND(O20/Summary!$L$6*10,1)*2)</f>
        <v>10.2</v>
      </c>
      <c r="Q20" s="38" t="n">
        <f aca="false">P20-L20</f>
        <v>5.2</v>
      </c>
      <c r="R20" s="12" t="str">
        <f aca="false">IF(O20&gt;=Summary!$L$6,"75%+ (all benefits)",IF(O20&gt;=Summary!$L$7,"55-74%",IF(O20&gt;=Summary!$L$8,"30-54%","Below 30%")))</f>
        <v>30-54%</v>
      </c>
      <c r="S20" s="39" t="n">
        <f aca="false">MAX(0,ROUNDUP(Summary!$L$6*(G20+Summary!$L$13)-E20,0))</f>
        <v>286</v>
      </c>
      <c r="T20" s="39" t="n">
        <f aca="false">MAX(0,ROUNDUP(Summary!$L$7*(G20+Summary!$L$13)-E20,0))</f>
        <v>191</v>
      </c>
      <c r="U20" s="39" t="n">
        <f aca="false">MAX(0,ROUNDUP(Summary!$L$8*(G20+Summary!$L$13)-E20,0))</f>
        <v>73</v>
      </c>
    </row>
    <row r="21" customFormat="false" ht="15" hidden="false" customHeight="false" outlineLevel="0" collapsed="false">
      <c r="A21" s="40" t="n">
        <v>16</v>
      </c>
      <c r="B21" s="40" t="s">
        <v>25</v>
      </c>
      <c r="C21" s="40" t="s">
        <v>153</v>
      </c>
      <c r="D21" s="41" t="s">
        <v>154</v>
      </c>
      <c r="E21" s="40" t="n">
        <v>223</v>
      </c>
      <c r="F21" s="40" t="n">
        <v>138</v>
      </c>
      <c r="G21" s="40" t="n">
        <v>361</v>
      </c>
      <c r="H21" s="36" t="n">
        <f aca="false">ROUND(E21/G21*100,0)/100</f>
        <v>0.62</v>
      </c>
      <c r="I21" s="12" t="str">
        <f aca="false">IF(H21&gt;=Summary!$L$6,"Eligible","Shortage")</f>
        <v>Shortage</v>
      </c>
      <c r="J21" s="12" t="str">
        <f aca="false">IF(H21&lt;Summary!$L$8,"YES","No")</f>
        <v>No</v>
      </c>
      <c r="K21" s="12" t="str">
        <f aca="false">IF(H21&gt;=Summary!$L$7,"Counted","Not Counted")</f>
        <v>Counted</v>
      </c>
      <c r="L21" s="17" t="n">
        <f aca="false">IF(H21&gt;=Summary!$L$6,20,ROUND(H21/Summary!$L$6*10,1)*2)</f>
        <v>16.6</v>
      </c>
      <c r="M21" s="37" t="n">
        <f aca="false">20-L21</f>
        <v>3.4</v>
      </c>
      <c r="N21" s="12" t="str">
        <f aca="false">IF(H21&gt;=Summary!$L$6,"75%+ (all benefits)",IF(H21&gt;=Summary!$L$7,"55-74%",IF(H21&gt;=Summary!$L$8,"30-54%","Below 30%")))</f>
        <v>55-74%</v>
      </c>
      <c r="O21" s="13" t="n">
        <f aca="false">(E21+Summary!$L$13)/(G21+Summary!$L$13)</f>
        <v>0.708860759493671</v>
      </c>
      <c r="P21" s="17" t="n">
        <f aca="false">IF(O21&gt;=Summary!$L$6,20,ROUND(O21/Summary!$L$6*10,1)*2)</f>
        <v>19</v>
      </c>
      <c r="Q21" s="38" t="n">
        <f aca="false">P21-L21</f>
        <v>2.4</v>
      </c>
      <c r="R21" s="12" t="str">
        <f aca="false">IF(O21&gt;=Summary!$L$6,"75%+ (all benefits)",IF(O21&gt;=Summary!$L$7,"55-74%",IF(O21&gt;=Summary!$L$8,"30-54%","Below 30%")))</f>
        <v>55-74%</v>
      </c>
      <c r="S21" s="39" t="n">
        <f aca="false">MAX(0,ROUNDUP(Summary!$L$6*(G21+Summary!$L$13)-E21,0))</f>
        <v>133</v>
      </c>
      <c r="T21" s="39" t="n">
        <f aca="false">MAX(0,ROUNDUP(Summary!$L$7*(G21+Summary!$L$13)-E21,0))</f>
        <v>38</v>
      </c>
      <c r="U21" s="39" t="n">
        <f aca="false">MAX(0,ROUNDUP(Summary!$L$8*(G21+Summary!$L$13)-E21,0))</f>
        <v>0</v>
      </c>
    </row>
    <row r="22" customFormat="false" ht="15" hidden="false" customHeight="false" outlineLevel="0" collapsed="false">
      <c r="A22" s="12" t="n">
        <v>17</v>
      </c>
      <c r="B22" s="12" t="s">
        <v>25</v>
      </c>
      <c r="C22" s="12" t="s">
        <v>155</v>
      </c>
      <c r="D22" s="32" t="s">
        <v>156</v>
      </c>
      <c r="E22" s="12" t="n">
        <v>313</v>
      </c>
      <c r="F22" s="12" t="n">
        <v>48</v>
      </c>
      <c r="G22" s="12" t="n">
        <v>361</v>
      </c>
      <c r="H22" s="36" t="n">
        <f aca="false">ROUND(E22/G22*100,0)/100</f>
        <v>0.87</v>
      </c>
      <c r="I22" s="12" t="str">
        <f aca="false">IF(H22&gt;=Summary!$L$6,"Eligible","Shortage")</f>
        <v>Eligible</v>
      </c>
      <c r="J22" s="12" t="str">
        <f aca="false">IF(H22&lt;Summary!$L$8,"YES","No")</f>
        <v>No</v>
      </c>
      <c r="K22" s="12" t="str">
        <f aca="false">IF(H22&gt;=Summary!$L$7,"Counted","Not Counted")</f>
        <v>Counted</v>
      </c>
      <c r="L22" s="17" t="n">
        <f aca="false">IF(H22&gt;=Summary!$L$6,20,ROUND(H22/Summary!$L$6*10,1)*2)</f>
        <v>20</v>
      </c>
      <c r="M22" s="37" t="n">
        <f aca="false">20-L22</f>
        <v>0</v>
      </c>
      <c r="N22" s="12" t="str">
        <f aca="false">IF(H22&gt;=Summary!$L$6,"75%+ (all benefits)",IF(H22&gt;=Summary!$L$7,"55-74%",IF(H22&gt;=Summary!$L$8,"30-54%","Below 30%")))</f>
        <v>75%+ (all benefits)</v>
      </c>
      <c r="O22" s="13" t="n">
        <f aca="false">(E22+Summary!$L$13)/(G22+Summary!$L$13)</f>
        <v>0.89873417721519</v>
      </c>
      <c r="P22" s="17" t="n">
        <f aca="false">IF(O22&gt;=Summary!$L$6,20,ROUND(O22/Summary!$L$6*10,1)*2)</f>
        <v>20</v>
      </c>
      <c r="Q22" s="38" t="n">
        <f aca="false">P22-L22</f>
        <v>0</v>
      </c>
      <c r="R22" s="12" t="str">
        <f aca="false">IF(O22&gt;=Summary!$L$6,"75%+ (all benefits)",IF(O22&gt;=Summary!$L$7,"55-74%",IF(O22&gt;=Summary!$L$8,"30-54%","Below 30%")))</f>
        <v>75%+ (all benefits)</v>
      </c>
      <c r="S22" s="39" t="n">
        <f aca="false">MAX(0,ROUNDUP(Summary!$L$6*(G22+Summary!$L$13)-E22,0))</f>
        <v>43</v>
      </c>
      <c r="T22" s="39" t="n">
        <f aca="false">MAX(0,ROUNDUP(Summary!$L$7*(G22+Summary!$L$13)-E22,0))</f>
        <v>0</v>
      </c>
      <c r="U22" s="39" t="n">
        <f aca="false">MAX(0,ROUNDUP(Summary!$L$8*(G22+Summary!$L$13)-E22,0))</f>
        <v>0</v>
      </c>
    </row>
    <row r="23" customFormat="false" ht="15" hidden="false" customHeight="false" outlineLevel="0" collapsed="false">
      <c r="A23" s="40" t="n">
        <v>18</v>
      </c>
      <c r="B23" s="40" t="s">
        <v>25</v>
      </c>
      <c r="C23" s="40" t="s">
        <v>157</v>
      </c>
      <c r="D23" s="41" t="s">
        <v>158</v>
      </c>
      <c r="E23" s="40" t="n">
        <v>227</v>
      </c>
      <c r="F23" s="40" t="n">
        <v>134</v>
      </c>
      <c r="G23" s="40" t="n">
        <v>361</v>
      </c>
      <c r="H23" s="36" t="n">
        <f aca="false">ROUND(E23/G23*100,0)/100</f>
        <v>0.63</v>
      </c>
      <c r="I23" s="12" t="str">
        <f aca="false">IF(H23&gt;=Summary!$L$6,"Eligible","Shortage")</f>
        <v>Shortage</v>
      </c>
      <c r="J23" s="12" t="str">
        <f aca="false">IF(H23&lt;Summary!$L$8,"YES","No")</f>
        <v>No</v>
      </c>
      <c r="K23" s="12" t="str">
        <f aca="false">IF(H23&gt;=Summary!$L$7,"Counted","Not Counted")</f>
        <v>Counted</v>
      </c>
      <c r="L23" s="17" t="n">
        <f aca="false">IF(H23&gt;=Summary!$L$6,20,ROUND(H23/Summary!$L$6*10,1)*2)</f>
        <v>16.8</v>
      </c>
      <c r="M23" s="37" t="n">
        <f aca="false">20-L23</f>
        <v>3.2</v>
      </c>
      <c r="N23" s="12" t="str">
        <f aca="false">IF(H23&gt;=Summary!$L$6,"75%+ (all benefits)",IF(H23&gt;=Summary!$L$7,"55-74%",IF(H23&gt;=Summary!$L$8,"30-54%","Below 30%")))</f>
        <v>55-74%</v>
      </c>
      <c r="O23" s="13" t="n">
        <f aca="false">(E23+Summary!$L$13)/(G23+Summary!$L$13)</f>
        <v>0.717299578059072</v>
      </c>
      <c r="P23" s="17" t="n">
        <f aca="false">IF(O23&gt;=Summary!$L$6,20,ROUND(O23/Summary!$L$6*10,1)*2)</f>
        <v>19.2</v>
      </c>
      <c r="Q23" s="38" t="n">
        <f aca="false">P23-L23</f>
        <v>2.4</v>
      </c>
      <c r="R23" s="12" t="str">
        <f aca="false">IF(O23&gt;=Summary!$L$6,"75%+ (all benefits)",IF(O23&gt;=Summary!$L$7,"55-74%",IF(O23&gt;=Summary!$L$8,"30-54%","Below 30%")))</f>
        <v>55-74%</v>
      </c>
      <c r="S23" s="39" t="n">
        <f aca="false">MAX(0,ROUNDUP(Summary!$L$6*(G23+Summary!$L$13)-E23,0))</f>
        <v>129</v>
      </c>
      <c r="T23" s="39" t="n">
        <f aca="false">MAX(0,ROUNDUP(Summary!$L$7*(G23+Summary!$L$13)-E23,0))</f>
        <v>34</v>
      </c>
      <c r="U23" s="39" t="n">
        <f aca="false">MAX(0,ROUNDUP(Summary!$L$8*(G23+Summary!$L$13)-E23,0))</f>
        <v>0</v>
      </c>
    </row>
    <row r="24" customFormat="false" ht="15" hidden="false" customHeight="false" outlineLevel="0" collapsed="false">
      <c r="A24" s="12" t="n">
        <v>19</v>
      </c>
      <c r="B24" s="12" t="s">
        <v>25</v>
      </c>
      <c r="C24" s="12" t="s">
        <v>159</v>
      </c>
      <c r="D24" s="32" t="s">
        <v>160</v>
      </c>
      <c r="E24" s="12" t="n">
        <v>278</v>
      </c>
      <c r="F24" s="12" t="n">
        <v>83</v>
      </c>
      <c r="G24" s="12" t="n">
        <v>361</v>
      </c>
      <c r="H24" s="36" t="n">
        <f aca="false">ROUND(E24/G24*100,0)/100</f>
        <v>0.77</v>
      </c>
      <c r="I24" s="12" t="str">
        <f aca="false">IF(H24&gt;=Summary!$L$6,"Eligible","Shortage")</f>
        <v>Eligible</v>
      </c>
      <c r="J24" s="12" t="str">
        <f aca="false">IF(H24&lt;Summary!$L$8,"YES","No")</f>
        <v>No</v>
      </c>
      <c r="K24" s="12" t="str">
        <f aca="false">IF(H24&gt;=Summary!$L$7,"Counted","Not Counted")</f>
        <v>Counted</v>
      </c>
      <c r="L24" s="17" t="n">
        <f aca="false">IF(H24&gt;=Summary!$L$6,20,ROUND(H24/Summary!$L$6*10,1)*2)</f>
        <v>20</v>
      </c>
      <c r="M24" s="37" t="n">
        <f aca="false">20-L24</f>
        <v>0</v>
      </c>
      <c r="N24" s="12" t="str">
        <f aca="false">IF(H24&gt;=Summary!$L$6,"75%+ (all benefits)",IF(H24&gt;=Summary!$L$7,"55-74%",IF(H24&gt;=Summary!$L$8,"30-54%","Below 30%")))</f>
        <v>75%+ (all benefits)</v>
      </c>
      <c r="O24" s="13" t="n">
        <f aca="false">(E24+Summary!$L$13)/(G24+Summary!$L$13)</f>
        <v>0.824894514767933</v>
      </c>
      <c r="P24" s="17" t="n">
        <f aca="false">IF(O24&gt;=Summary!$L$6,20,ROUND(O24/Summary!$L$6*10,1)*2)</f>
        <v>20</v>
      </c>
      <c r="Q24" s="38" t="n">
        <f aca="false">P24-L24</f>
        <v>0</v>
      </c>
      <c r="R24" s="12" t="str">
        <f aca="false">IF(O24&gt;=Summary!$L$6,"75%+ (all benefits)",IF(O24&gt;=Summary!$L$7,"55-74%",IF(O24&gt;=Summary!$L$8,"30-54%","Below 30%")))</f>
        <v>75%+ (all benefits)</v>
      </c>
      <c r="S24" s="39" t="n">
        <f aca="false">MAX(0,ROUNDUP(Summary!$L$6*(G24+Summary!$L$13)-E24,0))</f>
        <v>78</v>
      </c>
      <c r="T24" s="39" t="n">
        <f aca="false">MAX(0,ROUNDUP(Summary!$L$7*(G24+Summary!$L$13)-E24,0))</f>
        <v>0</v>
      </c>
      <c r="U24" s="39" t="n">
        <f aca="false">MAX(0,ROUNDUP(Summary!$L$8*(G24+Summary!$L$13)-E24,0))</f>
        <v>0</v>
      </c>
    </row>
    <row r="25" customFormat="false" ht="15" hidden="false" customHeight="false" outlineLevel="0" collapsed="false">
      <c r="A25" s="40" t="n">
        <v>20</v>
      </c>
      <c r="B25" s="40" t="s">
        <v>25</v>
      </c>
      <c r="C25" s="40" t="s">
        <v>59</v>
      </c>
      <c r="D25" s="41" t="s">
        <v>60</v>
      </c>
      <c r="E25" s="40" t="n">
        <v>69</v>
      </c>
      <c r="F25" s="40" t="n">
        <v>292</v>
      </c>
      <c r="G25" s="40" t="n">
        <v>361</v>
      </c>
      <c r="H25" s="36" t="n">
        <f aca="false">ROUND(E25/G25*100,0)/100</f>
        <v>0.19</v>
      </c>
      <c r="I25" s="12" t="str">
        <f aca="false">IF(H25&gt;=Summary!$L$6,"Eligible","Shortage")</f>
        <v>Shortage</v>
      </c>
      <c r="J25" s="12" t="str">
        <f aca="false">IF(H25&lt;Summary!$L$8,"YES","No")</f>
        <v>YES</v>
      </c>
      <c r="K25" s="12" t="str">
        <f aca="false">IF(H25&gt;=Summary!$L$7,"Counted","Not Counted")</f>
        <v>Not Counted</v>
      </c>
      <c r="L25" s="17" t="n">
        <f aca="false">IF(H25&gt;=Summary!$L$6,20,ROUND(H25/Summary!$L$6*10,1)*2)</f>
        <v>5</v>
      </c>
      <c r="M25" s="37" t="n">
        <f aca="false">20-L25</f>
        <v>15</v>
      </c>
      <c r="N25" s="12" t="str">
        <f aca="false">IF(H25&gt;=Summary!$L$6,"75%+ (all benefits)",IF(H25&gt;=Summary!$L$7,"55-74%",IF(H25&gt;=Summary!$L$8,"30-54%","Below 30%")))</f>
        <v>Below 30%</v>
      </c>
      <c r="O25" s="13" t="n">
        <f aca="false">(E25+Summary!$L$13)/(G25+Summary!$L$13)</f>
        <v>0.383966244725738</v>
      </c>
      <c r="P25" s="17" t="n">
        <f aca="false">IF(O25&gt;=Summary!$L$6,20,ROUND(O25/Summary!$L$6*10,1)*2)</f>
        <v>10.2</v>
      </c>
      <c r="Q25" s="38" t="n">
        <f aca="false">P25-L25</f>
        <v>5.2</v>
      </c>
      <c r="R25" s="12" t="str">
        <f aca="false">IF(O25&gt;=Summary!$L$6,"75%+ (all benefits)",IF(O25&gt;=Summary!$L$7,"55-74%",IF(O25&gt;=Summary!$L$8,"30-54%","Below 30%")))</f>
        <v>30-54%</v>
      </c>
      <c r="S25" s="39" t="n">
        <f aca="false">MAX(0,ROUNDUP(Summary!$L$6*(G25+Summary!$L$13)-E25,0))</f>
        <v>287</v>
      </c>
      <c r="T25" s="39" t="n">
        <f aca="false">MAX(0,ROUNDUP(Summary!$L$7*(G25+Summary!$L$13)-E25,0))</f>
        <v>192</v>
      </c>
      <c r="U25" s="39" t="n">
        <f aca="false">MAX(0,ROUNDUP(Summary!$L$8*(G25+Summary!$L$13)-E25,0))</f>
        <v>74</v>
      </c>
    </row>
    <row r="26" customFormat="false" ht="15" hidden="false" customHeight="false" outlineLevel="0" collapsed="false">
      <c r="A26" s="12" t="n">
        <v>21</v>
      </c>
      <c r="B26" s="12" t="s">
        <v>25</v>
      </c>
      <c r="C26" s="12" t="s">
        <v>161</v>
      </c>
      <c r="D26" s="32" t="s">
        <v>162</v>
      </c>
      <c r="E26" s="12" t="n">
        <v>292</v>
      </c>
      <c r="F26" s="12" t="n">
        <v>69</v>
      </c>
      <c r="G26" s="12" t="n">
        <v>361</v>
      </c>
      <c r="H26" s="36" t="n">
        <f aca="false">ROUND(E26/G26*100,0)/100</f>
        <v>0.81</v>
      </c>
      <c r="I26" s="12" t="str">
        <f aca="false">IF(H26&gt;=Summary!$L$6,"Eligible","Shortage")</f>
        <v>Eligible</v>
      </c>
      <c r="J26" s="12" t="str">
        <f aca="false">IF(H26&lt;Summary!$L$8,"YES","No")</f>
        <v>No</v>
      </c>
      <c r="K26" s="12" t="str">
        <f aca="false">IF(H26&gt;=Summary!$L$7,"Counted","Not Counted")</f>
        <v>Counted</v>
      </c>
      <c r="L26" s="17" t="n">
        <f aca="false">IF(H26&gt;=Summary!$L$6,20,ROUND(H26/Summary!$L$6*10,1)*2)</f>
        <v>20</v>
      </c>
      <c r="M26" s="37" t="n">
        <f aca="false">20-L26</f>
        <v>0</v>
      </c>
      <c r="N26" s="12" t="str">
        <f aca="false">IF(H26&gt;=Summary!$L$6,"75%+ (all benefits)",IF(H26&gt;=Summary!$L$7,"55-74%",IF(H26&gt;=Summary!$L$8,"30-54%","Below 30%")))</f>
        <v>75%+ (all benefits)</v>
      </c>
      <c r="O26" s="13" t="n">
        <f aca="false">(E26+Summary!$L$13)/(G26+Summary!$L$13)</f>
        <v>0.854430379746835</v>
      </c>
      <c r="P26" s="17" t="n">
        <f aca="false">IF(O26&gt;=Summary!$L$6,20,ROUND(O26/Summary!$L$6*10,1)*2)</f>
        <v>20</v>
      </c>
      <c r="Q26" s="38" t="n">
        <f aca="false">P26-L26</f>
        <v>0</v>
      </c>
      <c r="R26" s="12" t="str">
        <f aca="false">IF(O26&gt;=Summary!$L$6,"75%+ (all benefits)",IF(O26&gt;=Summary!$L$7,"55-74%",IF(O26&gt;=Summary!$L$8,"30-54%","Below 30%")))</f>
        <v>75%+ (all benefits)</v>
      </c>
      <c r="S26" s="39" t="n">
        <f aca="false">MAX(0,ROUNDUP(Summary!$L$6*(G26+Summary!$L$13)-E26,0))</f>
        <v>64</v>
      </c>
      <c r="T26" s="39" t="n">
        <f aca="false">MAX(0,ROUNDUP(Summary!$L$7*(G26+Summary!$L$13)-E26,0))</f>
        <v>0</v>
      </c>
      <c r="U26" s="39" t="n">
        <f aca="false">MAX(0,ROUNDUP(Summary!$L$8*(G26+Summary!$L$13)-E26,0))</f>
        <v>0</v>
      </c>
    </row>
    <row r="27" customFormat="false" ht="15" hidden="false" customHeight="false" outlineLevel="0" collapsed="false">
      <c r="A27" s="40" t="n">
        <v>22</v>
      </c>
      <c r="B27" s="40" t="s">
        <v>25</v>
      </c>
      <c r="C27" s="40" t="s">
        <v>163</v>
      </c>
      <c r="D27" s="41" t="s">
        <v>164</v>
      </c>
      <c r="E27" s="40" t="n">
        <v>262</v>
      </c>
      <c r="F27" s="40" t="n">
        <v>99</v>
      </c>
      <c r="G27" s="40" t="n">
        <v>361</v>
      </c>
      <c r="H27" s="36" t="n">
        <f aca="false">ROUND(E27/G27*100,0)/100</f>
        <v>0.73</v>
      </c>
      <c r="I27" s="12" t="str">
        <f aca="false">IF(H27&gt;=Summary!$L$6,"Eligible","Shortage")</f>
        <v>Shortage</v>
      </c>
      <c r="J27" s="12" t="str">
        <f aca="false">IF(H27&lt;Summary!$L$8,"YES","No")</f>
        <v>No</v>
      </c>
      <c r="K27" s="12" t="str">
        <f aca="false">IF(H27&gt;=Summary!$L$7,"Counted","Not Counted")</f>
        <v>Counted</v>
      </c>
      <c r="L27" s="17" t="n">
        <f aca="false">IF(H27&gt;=Summary!$L$6,20,ROUND(H27/Summary!$L$6*10,1)*2)</f>
        <v>19.4</v>
      </c>
      <c r="M27" s="37" t="n">
        <f aca="false">20-L27</f>
        <v>0.600000000000001</v>
      </c>
      <c r="N27" s="12" t="str">
        <f aca="false">IF(H27&gt;=Summary!$L$6,"75%+ (all benefits)",IF(H27&gt;=Summary!$L$7,"55-74%",IF(H27&gt;=Summary!$L$8,"30-54%","Below 30%")))</f>
        <v>55-74%</v>
      </c>
      <c r="O27" s="13" t="n">
        <f aca="false">(E27+Summary!$L$13)/(G27+Summary!$L$13)</f>
        <v>0.791139240506329</v>
      </c>
      <c r="P27" s="17" t="n">
        <f aca="false">IF(O27&gt;=Summary!$L$6,20,ROUND(O27/Summary!$L$6*10,1)*2)</f>
        <v>20</v>
      </c>
      <c r="Q27" s="38" t="n">
        <f aca="false">P27-L27</f>
        <v>0.600000000000001</v>
      </c>
      <c r="R27" s="12" t="str">
        <f aca="false">IF(O27&gt;=Summary!$L$6,"75%+ (all benefits)",IF(O27&gt;=Summary!$L$7,"55-74%",IF(O27&gt;=Summary!$L$8,"30-54%","Below 30%")))</f>
        <v>75%+ (all benefits)</v>
      </c>
      <c r="S27" s="39" t="n">
        <f aca="false">MAX(0,ROUNDUP(Summary!$L$6*(G27+Summary!$L$13)-E27,0))</f>
        <v>94</v>
      </c>
      <c r="T27" s="39" t="n">
        <f aca="false">MAX(0,ROUNDUP(Summary!$L$7*(G27+Summary!$L$13)-E27,0))</f>
        <v>0</v>
      </c>
      <c r="U27" s="39" t="n">
        <f aca="false">MAX(0,ROUNDUP(Summary!$L$8*(G27+Summary!$L$13)-E27,0))</f>
        <v>0</v>
      </c>
    </row>
    <row r="28" customFormat="false" ht="15" hidden="false" customHeight="false" outlineLevel="0" collapsed="false">
      <c r="A28" s="12" t="n">
        <v>23</v>
      </c>
      <c r="B28" s="12" t="s">
        <v>25</v>
      </c>
      <c r="C28" s="12" t="s">
        <v>165</v>
      </c>
      <c r="D28" s="32" t="s">
        <v>166</v>
      </c>
      <c r="E28" s="12" t="n">
        <v>280</v>
      </c>
      <c r="F28" s="12" t="n">
        <v>81</v>
      </c>
      <c r="G28" s="12" t="n">
        <v>361</v>
      </c>
      <c r="H28" s="36" t="n">
        <f aca="false">ROUND(E28/G28*100,0)/100</f>
        <v>0.78</v>
      </c>
      <c r="I28" s="12" t="str">
        <f aca="false">IF(H28&gt;=Summary!$L$6,"Eligible","Shortage")</f>
        <v>Eligible</v>
      </c>
      <c r="J28" s="12" t="str">
        <f aca="false">IF(H28&lt;Summary!$L$8,"YES","No")</f>
        <v>No</v>
      </c>
      <c r="K28" s="12" t="str">
        <f aca="false">IF(H28&gt;=Summary!$L$7,"Counted","Not Counted")</f>
        <v>Counted</v>
      </c>
      <c r="L28" s="17" t="n">
        <f aca="false">IF(H28&gt;=Summary!$L$6,20,ROUND(H28/Summary!$L$6*10,1)*2)</f>
        <v>20</v>
      </c>
      <c r="M28" s="37" t="n">
        <f aca="false">20-L28</f>
        <v>0</v>
      </c>
      <c r="N28" s="12" t="str">
        <f aca="false">IF(H28&gt;=Summary!$L$6,"75%+ (all benefits)",IF(H28&gt;=Summary!$L$7,"55-74%",IF(H28&gt;=Summary!$L$8,"30-54%","Below 30%")))</f>
        <v>75%+ (all benefits)</v>
      </c>
      <c r="O28" s="13" t="n">
        <f aca="false">(E28+Summary!$L$13)/(G28+Summary!$L$13)</f>
        <v>0.829113924050633</v>
      </c>
      <c r="P28" s="17" t="n">
        <f aca="false">IF(O28&gt;=Summary!$L$6,20,ROUND(O28/Summary!$L$6*10,1)*2)</f>
        <v>20</v>
      </c>
      <c r="Q28" s="38" t="n">
        <f aca="false">P28-L28</f>
        <v>0</v>
      </c>
      <c r="R28" s="12" t="str">
        <f aca="false">IF(O28&gt;=Summary!$L$6,"75%+ (all benefits)",IF(O28&gt;=Summary!$L$7,"55-74%",IF(O28&gt;=Summary!$L$8,"30-54%","Below 30%")))</f>
        <v>75%+ (all benefits)</v>
      </c>
      <c r="S28" s="39" t="n">
        <f aca="false">MAX(0,ROUNDUP(Summary!$L$6*(G28+Summary!$L$13)-E28,0))</f>
        <v>76</v>
      </c>
      <c r="T28" s="39" t="n">
        <f aca="false">MAX(0,ROUNDUP(Summary!$L$7*(G28+Summary!$L$13)-E28,0))</f>
        <v>0</v>
      </c>
      <c r="U28" s="39" t="n">
        <f aca="false">MAX(0,ROUNDUP(Summary!$L$8*(G28+Summary!$L$13)-E28,0))</f>
        <v>0</v>
      </c>
    </row>
    <row r="29" customFormat="false" ht="15" hidden="false" customHeight="false" outlineLevel="0" collapsed="false">
      <c r="A29" s="40" t="n">
        <v>24</v>
      </c>
      <c r="B29" s="40" t="s">
        <v>25</v>
      </c>
      <c r="C29" s="40" t="s">
        <v>167</v>
      </c>
      <c r="D29" s="41" t="s">
        <v>168</v>
      </c>
      <c r="E29" s="40" t="n">
        <v>278</v>
      </c>
      <c r="F29" s="40" t="n">
        <v>83</v>
      </c>
      <c r="G29" s="40" t="n">
        <v>361</v>
      </c>
      <c r="H29" s="36" t="n">
        <f aca="false">ROUND(E29/G29*100,0)/100</f>
        <v>0.77</v>
      </c>
      <c r="I29" s="12" t="str">
        <f aca="false">IF(H29&gt;=Summary!$L$6,"Eligible","Shortage")</f>
        <v>Eligible</v>
      </c>
      <c r="J29" s="12" t="str">
        <f aca="false">IF(H29&lt;Summary!$L$8,"YES","No")</f>
        <v>No</v>
      </c>
      <c r="K29" s="12" t="str">
        <f aca="false">IF(H29&gt;=Summary!$L$7,"Counted","Not Counted")</f>
        <v>Counted</v>
      </c>
      <c r="L29" s="17" t="n">
        <f aca="false">IF(H29&gt;=Summary!$L$6,20,ROUND(H29/Summary!$L$6*10,1)*2)</f>
        <v>20</v>
      </c>
      <c r="M29" s="37" t="n">
        <f aca="false">20-L29</f>
        <v>0</v>
      </c>
      <c r="N29" s="12" t="str">
        <f aca="false">IF(H29&gt;=Summary!$L$6,"75%+ (all benefits)",IF(H29&gt;=Summary!$L$7,"55-74%",IF(H29&gt;=Summary!$L$8,"30-54%","Below 30%")))</f>
        <v>75%+ (all benefits)</v>
      </c>
      <c r="O29" s="13" t="n">
        <f aca="false">(E29+Summary!$L$13)/(G29+Summary!$L$13)</f>
        <v>0.824894514767933</v>
      </c>
      <c r="P29" s="17" t="n">
        <f aca="false">IF(O29&gt;=Summary!$L$6,20,ROUND(O29/Summary!$L$6*10,1)*2)</f>
        <v>20</v>
      </c>
      <c r="Q29" s="38" t="n">
        <f aca="false">P29-L29</f>
        <v>0</v>
      </c>
      <c r="R29" s="12" t="str">
        <f aca="false">IF(O29&gt;=Summary!$L$6,"75%+ (all benefits)",IF(O29&gt;=Summary!$L$7,"55-74%",IF(O29&gt;=Summary!$L$8,"30-54%","Below 30%")))</f>
        <v>75%+ (all benefits)</v>
      </c>
      <c r="S29" s="39" t="n">
        <f aca="false">MAX(0,ROUNDUP(Summary!$L$6*(G29+Summary!$L$13)-E29,0))</f>
        <v>78</v>
      </c>
      <c r="T29" s="39" t="n">
        <f aca="false">MAX(0,ROUNDUP(Summary!$L$7*(G29+Summary!$L$13)-E29,0))</f>
        <v>0</v>
      </c>
      <c r="U29" s="39" t="n">
        <f aca="false">MAX(0,ROUNDUP(Summary!$L$8*(G29+Summary!$L$13)-E29,0))</f>
        <v>0</v>
      </c>
    </row>
    <row r="30" customFormat="false" ht="15" hidden="false" customHeight="false" outlineLevel="0" collapsed="false">
      <c r="A30" s="12" t="n">
        <v>25</v>
      </c>
      <c r="B30" s="12" t="s">
        <v>25</v>
      </c>
      <c r="C30" s="12" t="s">
        <v>169</v>
      </c>
      <c r="D30" s="32" t="s">
        <v>170</v>
      </c>
      <c r="E30" s="12" t="n">
        <v>142</v>
      </c>
      <c r="F30" s="12" t="n">
        <v>219</v>
      </c>
      <c r="G30" s="12" t="n">
        <v>361</v>
      </c>
      <c r="H30" s="36" t="n">
        <f aca="false">ROUND(E30/G30*100,0)/100</f>
        <v>0.39</v>
      </c>
      <c r="I30" s="12" t="str">
        <f aca="false">IF(H30&gt;=Summary!$L$6,"Eligible","Shortage")</f>
        <v>Shortage</v>
      </c>
      <c r="J30" s="12" t="str">
        <f aca="false">IF(H30&lt;Summary!$L$8,"YES","No")</f>
        <v>No</v>
      </c>
      <c r="K30" s="12" t="str">
        <f aca="false">IF(H30&gt;=Summary!$L$7,"Counted","Not Counted")</f>
        <v>Not Counted</v>
      </c>
      <c r="L30" s="17" t="n">
        <f aca="false">IF(H30&gt;=Summary!$L$6,20,ROUND(H30/Summary!$L$6*10,1)*2)</f>
        <v>10.4</v>
      </c>
      <c r="M30" s="37" t="n">
        <f aca="false">20-L30</f>
        <v>9.6</v>
      </c>
      <c r="N30" s="12" t="str">
        <f aca="false">IF(H30&gt;=Summary!$L$6,"75%+ (all benefits)",IF(H30&gt;=Summary!$L$7,"55-74%",IF(H30&gt;=Summary!$L$8,"30-54%","Below 30%")))</f>
        <v>30-54%</v>
      </c>
      <c r="O30" s="13" t="n">
        <f aca="false">(E30+Summary!$L$13)/(G30+Summary!$L$13)</f>
        <v>0.537974683544304</v>
      </c>
      <c r="P30" s="17" t="n">
        <f aca="false">IF(O30&gt;=Summary!$L$6,20,ROUND(O30/Summary!$L$6*10,1)*2)</f>
        <v>14.4</v>
      </c>
      <c r="Q30" s="38" t="n">
        <f aca="false">P30-L30</f>
        <v>4</v>
      </c>
      <c r="R30" s="12" t="str">
        <f aca="false">IF(O30&gt;=Summary!$L$6,"75%+ (all benefits)",IF(O30&gt;=Summary!$L$7,"55-74%",IF(O30&gt;=Summary!$L$8,"30-54%","Below 30%")))</f>
        <v>30-54%</v>
      </c>
      <c r="S30" s="39" t="n">
        <f aca="false">MAX(0,ROUNDUP(Summary!$L$6*(G30+Summary!$L$13)-E30,0))</f>
        <v>214</v>
      </c>
      <c r="T30" s="39" t="n">
        <f aca="false">MAX(0,ROUNDUP(Summary!$L$7*(G30+Summary!$L$13)-E30,0))</f>
        <v>119</v>
      </c>
      <c r="U30" s="39" t="n">
        <f aca="false">MAX(0,ROUNDUP(Summary!$L$8*(G30+Summary!$L$13)-E30,0))</f>
        <v>1</v>
      </c>
    </row>
    <row r="31" customFormat="false" ht="15" hidden="false" customHeight="false" outlineLevel="0" collapsed="false">
      <c r="A31" s="40" t="n">
        <v>26</v>
      </c>
      <c r="B31" s="40" t="s">
        <v>25</v>
      </c>
      <c r="C31" s="40" t="s">
        <v>55</v>
      </c>
      <c r="D31" s="41" t="s">
        <v>56</v>
      </c>
      <c r="E31" s="40" t="n">
        <v>25</v>
      </c>
      <c r="F31" s="40" t="n">
        <v>336</v>
      </c>
      <c r="G31" s="40" t="n">
        <v>361</v>
      </c>
      <c r="H31" s="36" t="n">
        <f aca="false">ROUND(E31/G31*100,0)/100</f>
        <v>0.07</v>
      </c>
      <c r="I31" s="12" t="str">
        <f aca="false">IF(H31&gt;=Summary!$L$6,"Eligible","Shortage")</f>
        <v>Shortage</v>
      </c>
      <c r="J31" s="12" t="str">
        <f aca="false">IF(H31&lt;Summary!$L$8,"YES","No")</f>
        <v>YES</v>
      </c>
      <c r="K31" s="12" t="str">
        <f aca="false">IF(H31&gt;=Summary!$L$7,"Counted","Not Counted")</f>
        <v>Not Counted</v>
      </c>
      <c r="L31" s="17" t="n">
        <f aca="false">IF(H31&gt;=Summary!$L$6,20,ROUND(H31/Summary!$L$6*10,1)*2)</f>
        <v>1.8</v>
      </c>
      <c r="M31" s="37" t="n">
        <f aca="false">20-L31</f>
        <v>18.2</v>
      </c>
      <c r="N31" s="12" t="str">
        <f aca="false">IF(H31&gt;=Summary!$L$6,"75%+ (all benefits)",IF(H31&gt;=Summary!$L$7,"55-74%",IF(H31&gt;=Summary!$L$8,"30-54%","Below 30%")))</f>
        <v>Below 30%</v>
      </c>
      <c r="O31" s="13" t="n">
        <f aca="false">(E31+Summary!$L$13)/(G31+Summary!$L$13)</f>
        <v>0.291139240506329</v>
      </c>
      <c r="P31" s="17" t="n">
        <f aca="false">IF(O31&gt;=Summary!$L$6,20,ROUND(O31/Summary!$L$6*10,1)*2)</f>
        <v>7.8</v>
      </c>
      <c r="Q31" s="38" t="n">
        <f aca="false">P31-L31</f>
        <v>6</v>
      </c>
      <c r="R31" s="12" t="str">
        <f aca="false">IF(O31&gt;=Summary!$L$6,"75%+ (all benefits)",IF(O31&gt;=Summary!$L$7,"55-74%",IF(O31&gt;=Summary!$L$8,"30-54%","Below 30%")))</f>
        <v>Below 30%</v>
      </c>
      <c r="S31" s="39" t="n">
        <f aca="false">MAX(0,ROUNDUP(Summary!$L$6*(G31+Summary!$L$13)-E31,0))</f>
        <v>331</v>
      </c>
      <c r="T31" s="39" t="n">
        <f aca="false">MAX(0,ROUNDUP(Summary!$L$7*(G31+Summary!$L$13)-E31,0))</f>
        <v>236</v>
      </c>
      <c r="U31" s="39" t="n">
        <f aca="false">MAX(0,ROUNDUP(Summary!$L$8*(G31+Summary!$L$13)-E31,0))</f>
        <v>118</v>
      </c>
    </row>
    <row r="32" customFormat="false" ht="15" hidden="false" customHeight="false" outlineLevel="0" collapsed="false">
      <c r="A32" s="12" t="n">
        <v>27</v>
      </c>
      <c r="B32" s="12" t="s">
        <v>25</v>
      </c>
      <c r="C32" s="12" t="s">
        <v>171</v>
      </c>
      <c r="D32" s="32" t="s">
        <v>172</v>
      </c>
      <c r="E32" s="12" t="n">
        <v>289</v>
      </c>
      <c r="F32" s="12" t="n">
        <v>72</v>
      </c>
      <c r="G32" s="12" t="n">
        <v>361</v>
      </c>
      <c r="H32" s="36" t="n">
        <f aca="false">ROUND(E32/G32*100,0)/100</f>
        <v>0.8</v>
      </c>
      <c r="I32" s="12" t="str">
        <f aca="false">IF(H32&gt;=Summary!$L$6,"Eligible","Shortage")</f>
        <v>Eligible</v>
      </c>
      <c r="J32" s="12" t="str">
        <f aca="false">IF(H32&lt;Summary!$L$8,"YES","No")</f>
        <v>No</v>
      </c>
      <c r="K32" s="12" t="str">
        <f aca="false">IF(H32&gt;=Summary!$L$7,"Counted","Not Counted")</f>
        <v>Counted</v>
      </c>
      <c r="L32" s="17" t="n">
        <f aca="false">IF(H32&gt;=Summary!$L$6,20,ROUND(H32/Summary!$L$6*10,1)*2)</f>
        <v>20</v>
      </c>
      <c r="M32" s="37" t="n">
        <f aca="false">20-L32</f>
        <v>0</v>
      </c>
      <c r="N32" s="12" t="str">
        <f aca="false">IF(H32&gt;=Summary!$L$6,"75%+ (all benefits)",IF(H32&gt;=Summary!$L$7,"55-74%",IF(H32&gt;=Summary!$L$8,"30-54%","Below 30%")))</f>
        <v>75%+ (all benefits)</v>
      </c>
      <c r="O32" s="13" t="n">
        <f aca="false">(E32+Summary!$L$13)/(G32+Summary!$L$13)</f>
        <v>0.848101265822785</v>
      </c>
      <c r="P32" s="17" t="n">
        <f aca="false">IF(O32&gt;=Summary!$L$6,20,ROUND(O32/Summary!$L$6*10,1)*2)</f>
        <v>20</v>
      </c>
      <c r="Q32" s="38" t="n">
        <f aca="false">P32-L32</f>
        <v>0</v>
      </c>
      <c r="R32" s="12" t="str">
        <f aca="false">IF(O32&gt;=Summary!$L$6,"75%+ (all benefits)",IF(O32&gt;=Summary!$L$7,"55-74%",IF(O32&gt;=Summary!$L$8,"30-54%","Below 30%")))</f>
        <v>75%+ (all benefits)</v>
      </c>
      <c r="S32" s="39" t="n">
        <f aca="false">MAX(0,ROUNDUP(Summary!$L$6*(G32+Summary!$L$13)-E32,0))</f>
        <v>67</v>
      </c>
      <c r="T32" s="39" t="n">
        <f aca="false">MAX(0,ROUNDUP(Summary!$L$7*(G32+Summary!$L$13)-E32,0))</f>
        <v>0</v>
      </c>
      <c r="U32" s="39" t="n">
        <f aca="false">MAX(0,ROUNDUP(Summary!$L$8*(G32+Summary!$L$13)-E32,0))</f>
        <v>0</v>
      </c>
    </row>
    <row r="33" customFormat="false" ht="15" hidden="false" customHeight="false" outlineLevel="0" collapsed="false">
      <c r="A33" s="40" t="n">
        <v>28</v>
      </c>
      <c r="B33" s="40" t="s">
        <v>25</v>
      </c>
      <c r="C33" s="40" t="s">
        <v>173</v>
      </c>
      <c r="D33" s="41" t="s">
        <v>174</v>
      </c>
      <c r="E33" s="40" t="n">
        <v>299</v>
      </c>
      <c r="F33" s="40" t="n">
        <v>62</v>
      </c>
      <c r="G33" s="40" t="n">
        <v>361</v>
      </c>
      <c r="H33" s="36" t="n">
        <f aca="false">ROUND(E33/G33*100,0)/100</f>
        <v>0.83</v>
      </c>
      <c r="I33" s="12" t="str">
        <f aca="false">IF(H33&gt;=Summary!$L$6,"Eligible","Shortage")</f>
        <v>Eligible</v>
      </c>
      <c r="J33" s="12" t="str">
        <f aca="false">IF(H33&lt;Summary!$L$8,"YES","No")</f>
        <v>No</v>
      </c>
      <c r="K33" s="12" t="str">
        <f aca="false">IF(H33&gt;=Summary!$L$7,"Counted","Not Counted")</f>
        <v>Counted</v>
      </c>
      <c r="L33" s="17" t="n">
        <f aca="false">IF(H33&gt;=Summary!$L$6,20,ROUND(H33/Summary!$L$6*10,1)*2)</f>
        <v>20</v>
      </c>
      <c r="M33" s="37" t="n">
        <f aca="false">20-L33</f>
        <v>0</v>
      </c>
      <c r="N33" s="12" t="str">
        <f aca="false">IF(H33&gt;=Summary!$L$6,"75%+ (all benefits)",IF(H33&gt;=Summary!$L$7,"55-74%",IF(H33&gt;=Summary!$L$8,"30-54%","Below 30%")))</f>
        <v>75%+ (all benefits)</v>
      </c>
      <c r="O33" s="13" t="n">
        <f aca="false">(E33+Summary!$L$13)/(G33+Summary!$L$13)</f>
        <v>0.869198312236287</v>
      </c>
      <c r="P33" s="17" t="n">
        <f aca="false">IF(O33&gt;=Summary!$L$6,20,ROUND(O33/Summary!$L$6*10,1)*2)</f>
        <v>20</v>
      </c>
      <c r="Q33" s="38" t="n">
        <f aca="false">P33-L33</f>
        <v>0</v>
      </c>
      <c r="R33" s="12" t="str">
        <f aca="false">IF(O33&gt;=Summary!$L$6,"75%+ (all benefits)",IF(O33&gt;=Summary!$L$7,"55-74%",IF(O33&gt;=Summary!$L$8,"30-54%","Below 30%")))</f>
        <v>75%+ (all benefits)</v>
      </c>
      <c r="S33" s="39" t="n">
        <f aca="false">MAX(0,ROUNDUP(Summary!$L$6*(G33+Summary!$L$13)-E33,0))</f>
        <v>57</v>
      </c>
      <c r="T33" s="39" t="n">
        <f aca="false">MAX(0,ROUNDUP(Summary!$L$7*(G33+Summary!$L$13)-E33,0))</f>
        <v>0</v>
      </c>
      <c r="U33" s="39" t="n">
        <f aca="false">MAX(0,ROUNDUP(Summary!$L$8*(G33+Summary!$L$13)-E33,0))</f>
        <v>0</v>
      </c>
    </row>
    <row r="34" customFormat="false" ht="15" hidden="false" customHeight="false" outlineLevel="0" collapsed="false">
      <c r="A34" s="12" t="n">
        <v>29</v>
      </c>
      <c r="B34" s="12" t="s">
        <v>25</v>
      </c>
      <c r="C34" s="12" t="s">
        <v>175</v>
      </c>
      <c r="D34" s="32" t="s">
        <v>176</v>
      </c>
      <c r="E34" s="12" t="n">
        <v>255</v>
      </c>
      <c r="F34" s="12" t="n">
        <v>106</v>
      </c>
      <c r="G34" s="12" t="n">
        <v>361</v>
      </c>
      <c r="H34" s="36" t="n">
        <f aca="false">ROUND(E34/G34*100,0)/100</f>
        <v>0.71</v>
      </c>
      <c r="I34" s="12" t="str">
        <f aca="false">IF(H34&gt;=Summary!$L$6,"Eligible","Shortage")</f>
        <v>Shortage</v>
      </c>
      <c r="J34" s="12" t="str">
        <f aca="false">IF(H34&lt;Summary!$L$8,"YES","No")</f>
        <v>No</v>
      </c>
      <c r="K34" s="12" t="str">
        <f aca="false">IF(H34&gt;=Summary!$L$7,"Counted","Not Counted")</f>
        <v>Counted</v>
      </c>
      <c r="L34" s="17" t="n">
        <f aca="false">IF(H34&gt;=Summary!$L$6,20,ROUND(H34/Summary!$L$6*10,1)*2)</f>
        <v>19</v>
      </c>
      <c r="M34" s="37" t="n">
        <f aca="false">20-L34</f>
        <v>1</v>
      </c>
      <c r="N34" s="12" t="str">
        <f aca="false">IF(H34&gt;=Summary!$L$6,"75%+ (all benefits)",IF(H34&gt;=Summary!$L$7,"55-74%",IF(H34&gt;=Summary!$L$8,"30-54%","Below 30%")))</f>
        <v>55-74%</v>
      </c>
      <c r="O34" s="13" t="n">
        <f aca="false">(E34+Summary!$L$13)/(G34+Summary!$L$13)</f>
        <v>0.776371308016878</v>
      </c>
      <c r="P34" s="17" t="n">
        <f aca="false">IF(O34&gt;=Summary!$L$6,20,ROUND(O34/Summary!$L$6*10,1)*2)</f>
        <v>20</v>
      </c>
      <c r="Q34" s="38" t="n">
        <f aca="false">P34-L34</f>
        <v>1</v>
      </c>
      <c r="R34" s="12" t="str">
        <f aca="false">IF(O34&gt;=Summary!$L$6,"75%+ (all benefits)",IF(O34&gt;=Summary!$L$7,"55-74%",IF(O34&gt;=Summary!$L$8,"30-54%","Below 30%")))</f>
        <v>75%+ (all benefits)</v>
      </c>
      <c r="S34" s="39" t="n">
        <f aca="false">MAX(0,ROUNDUP(Summary!$L$6*(G34+Summary!$L$13)-E34,0))</f>
        <v>101</v>
      </c>
      <c r="T34" s="39" t="n">
        <f aca="false">MAX(0,ROUNDUP(Summary!$L$7*(G34+Summary!$L$13)-E34,0))</f>
        <v>6</v>
      </c>
      <c r="U34" s="39" t="n">
        <f aca="false">MAX(0,ROUNDUP(Summary!$L$8*(G34+Summary!$L$13)-E34,0))</f>
        <v>0</v>
      </c>
    </row>
    <row r="35" customFormat="false" ht="15" hidden="false" customHeight="false" outlineLevel="0" collapsed="false">
      <c r="A35" s="40" t="n">
        <v>30</v>
      </c>
      <c r="B35" s="40" t="s">
        <v>25</v>
      </c>
      <c r="C35" s="40" t="s">
        <v>177</v>
      </c>
      <c r="D35" s="41" t="s">
        <v>178</v>
      </c>
      <c r="E35" s="40" t="n">
        <v>319</v>
      </c>
      <c r="F35" s="40" t="n">
        <v>42</v>
      </c>
      <c r="G35" s="40" t="n">
        <v>361</v>
      </c>
      <c r="H35" s="36" t="n">
        <f aca="false">ROUND(E35/G35*100,0)/100</f>
        <v>0.88</v>
      </c>
      <c r="I35" s="12" t="str">
        <f aca="false">IF(H35&gt;=Summary!$L$6,"Eligible","Shortage")</f>
        <v>Eligible</v>
      </c>
      <c r="J35" s="12" t="str">
        <f aca="false">IF(H35&lt;Summary!$L$8,"YES","No")</f>
        <v>No</v>
      </c>
      <c r="K35" s="12" t="str">
        <f aca="false">IF(H35&gt;=Summary!$L$7,"Counted","Not Counted")</f>
        <v>Counted</v>
      </c>
      <c r="L35" s="17" t="n">
        <f aca="false">IF(H35&gt;=Summary!$L$6,20,ROUND(H35/Summary!$L$6*10,1)*2)</f>
        <v>20</v>
      </c>
      <c r="M35" s="37" t="n">
        <f aca="false">20-L35</f>
        <v>0</v>
      </c>
      <c r="N35" s="12" t="str">
        <f aca="false">IF(H35&gt;=Summary!$L$6,"75%+ (all benefits)",IF(H35&gt;=Summary!$L$7,"55-74%",IF(H35&gt;=Summary!$L$8,"30-54%","Below 30%")))</f>
        <v>75%+ (all benefits)</v>
      </c>
      <c r="O35" s="13" t="n">
        <f aca="false">(E35+Summary!$L$13)/(G35+Summary!$L$13)</f>
        <v>0.911392405063291</v>
      </c>
      <c r="P35" s="17" t="n">
        <f aca="false">IF(O35&gt;=Summary!$L$6,20,ROUND(O35/Summary!$L$6*10,1)*2)</f>
        <v>20</v>
      </c>
      <c r="Q35" s="38" t="n">
        <f aca="false">P35-L35</f>
        <v>0</v>
      </c>
      <c r="R35" s="12" t="str">
        <f aca="false">IF(O35&gt;=Summary!$L$6,"75%+ (all benefits)",IF(O35&gt;=Summary!$L$7,"55-74%",IF(O35&gt;=Summary!$L$8,"30-54%","Below 30%")))</f>
        <v>75%+ (all benefits)</v>
      </c>
      <c r="S35" s="39" t="n">
        <f aca="false">MAX(0,ROUNDUP(Summary!$L$6*(G35+Summary!$L$13)-E35,0))</f>
        <v>37</v>
      </c>
      <c r="T35" s="39" t="n">
        <f aca="false">MAX(0,ROUNDUP(Summary!$L$7*(G35+Summary!$L$13)-E35,0))</f>
        <v>0</v>
      </c>
      <c r="U35" s="39" t="n">
        <f aca="false">MAX(0,ROUNDUP(Summary!$L$8*(G35+Summary!$L$13)-E35,0))</f>
        <v>0</v>
      </c>
    </row>
    <row r="36" customFormat="false" ht="15" hidden="false" customHeight="false" outlineLevel="0" collapsed="false">
      <c r="A36" s="12" t="n">
        <v>31</v>
      </c>
      <c r="B36" s="12" t="s">
        <v>25</v>
      </c>
      <c r="C36" s="12" t="s">
        <v>179</v>
      </c>
      <c r="D36" s="32" t="s">
        <v>180</v>
      </c>
      <c r="E36" s="12" t="n">
        <v>242</v>
      </c>
      <c r="F36" s="12" t="n">
        <v>119</v>
      </c>
      <c r="G36" s="12" t="n">
        <v>361</v>
      </c>
      <c r="H36" s="36" t="n">
        <f aca="false">ROUND(E36/G36*100,0)/100</f>
        <v>0.67</v>
      </c>
      <c r="I36" s="12" t="str">
        <f aca="false">IF(H36&gt;=Summary!$L$6,"Eligible","Shortage")</f>
        <v>Shortage</v>
      </c>
      <c r="J36" s="12" t="str">
        <f aca="false">IF(H36&lt;Summary!$L$8,"YES","No")</f>
        <v>No</v>
      </c>
      <c r="K36" s="12" t="str">
        <f aca="false">IF(H36&gt;=Summary!$L$7,"Counted","Not Counted")</f>
        <v>Counted</v>
      </c>
      <c r="L36" s="17" t="n">
        <f aca="false">IF(H36&gt;=Summary!$L$6,20,ROUND(H36/Summary!$L$6*10,1)*2)</f>
        <v>17.8</v>
      </c>
      <c r="M36" s="37" t="n">
        <f aca="false">20-L36</f>
        <v>2.2</v>
      </c>
      <c r="N36" s="12" t="str">
        <f aca="false">IF(H36&gt;=Summary!$L$6,"75%+ (all benefits)",IF(H36&gt;=Summary!$L$7,"55-74%",IF(H36&gt;=Summary!$L$8,"30-54%","Below 30%")))</f>
        <v>55-74%</v>
      </c>
      <c r="O36" s="13" t="n">
        <f aca="false">(E36+Summary!$L$13)/(G36+Summary!$L$13)</f>
        <v>0.748945147679325</v>
      </c>
      <c r="P36" s="17" t="n">
        <f aca="false">IF(O36&gt;=Summary!$L$6,20,ROUND(O36/Summary!$L$6*10,1)*2)</f>
        <v>20</v>
      </c>
      <c r="Q36" s="38" t="n">
        <f aca="false">P36-L36</f>
        <v>2.2</v>
      </c>
      <c r="R36" s="12" t="str">
        <f aca="false">IF(O36&gt;=Summary!$L$6,"75%+ (all benefits)",IF(O36&gt;=Summary!$L$7,"55-74%",IF(O36&gt;=Summary!$L$8,"30-54%","Below 30%")))</f>
        <v>55-74%</v>
      </c>
      <c r="S36" s="39" t="n">
        <f aca="false">MAX(0,ROUNDUP(Summary!$L$6*(G36+Summary!$L$13)-E36,0))</f>
        <v>114</v>
      </c>
      <c r="T36" s="39" t="n">
        <f aca="false">MAX(0,ROUNDUP(Summary!$L$7*(G36+Summary!$L$13)-E36,0))</f>
        <v>19</v>
      </c>
      <c r="U36" s="39" t="n">
        <f aca="false">MAX(0,ROUNDUP(Summary!$L$8*(G36+Summary!$L$13)-E36,0))</f>
        <v>0</v>
      </c>
    </row>
    <row r="37" customFormat="false" ht="15" hidden="false" customHeight="false" outlineLevel="0" collapsed="false">
      <c r="A37" s="40" t="n">
        <v>32</v>
      </c>
      <c r="B37" s="40" t="s">
        <v>25</v>
      </c>
      <c r="C37" s="40" t="s">
        <v>181</v>
      </c>
      <c r="D37" s="41" t="s">
        <v>182</v>
      </c>
      <c r="E37" s="40" t="n">
        <v>266</v>
      </c>
      <c r="F37" s="40" t="n">
        <v>95</v>
      </c>
      <c r="G37" s="40" t="n">
        <v>361</v>
      </c>
      <c r="H37" s="36" t="n">
        <f aca="false">ROUND(E37/G37*100,0)/100</f>
        <v>0.74</v>
      </c>
      <c r="I37" s="12" t="str">
        <f aca="false">IF(H37&gt;=Summary!$L$6,"Eligible","Shortage")</f>
        <v>Shortage</v>
      </c>
      <c r="J37" s="12" t="str">
        <f aca="false">IF(H37&lt;Summary!$L$8,"YES","No")</f>
        <v>No</v>
      </c>
      <c r="K37" s="12" t="str">
        <f aca="false">IF(H37&gt;=Summary!$L$7,"Counted","Not Counted")</f>
        <v>Counted</v>
      </c>
      <c r="L37" s="17" t="n">
        <f aca="false">IF(H37&gt;=Summary!$L$6,20,ROUND(H37/Summary!$L$6*10,1)*2)</f>
        <v>19.8</v>
      </c>
      <c r="M37" s="37" t="n">
        <f aca="false">20-L37</f>
        <v>0.199999999999999</v>
      </c>
      <c r="N37" s="12" t="str">
        <f aca="false">IF(H37&gt;=Summary!$L$6,"75%+ (all benefits)",IF(H37&gt;=Summary!$L$7,"55-74%",IF(H37&gt;=Summary!$L$8,"30-54%","Below 30%")))</f>
        <v>55-74%</v>
      </c>
      <c r="O37" s="13" t="n">
        <f aca="false">(E37+Summary!$L$13)/(G37+Summary!$L$13)</f>
        <v>0.79957805907173</v>
      </c>
      <c r="P37" s="17" t="n">
        <f aca="false">IF(O37&gt;=Summary!$L$6,20,ROUND(O37/Summary!$L$6*10,1)*2)</f>
        <v>20</v>
      </c>
      <c r="Q37" s="38" t="n">
        <f aca="false">P37-L37</f>
        <v>0.199999999999999</v>
      </c>
      <c r="R37" s="12" t="str">
        <f aca="false">IF(O37&gt;=Summary!$L$6,"75%+ (all benefits)",IF(O37&gt;=Summary!$L$7,"55-74%",IF(O37&gt;=Summary!$L$8,"30-54%","Below 30%")))</f>
        <v>75%+ (all benefits)</v>
      </c>
      <c r="S37" s="39" t="n">
        <f aca="false">MAX(0,ROUNDUP(Summary!$L$6*(G37+Summary!$L$13)-E37,0))</f>
        <v>90</v>
      </c>
      <c r="T37" s="39" t="n">
        <f aca="false">MAX(0,ROUNDUP(Summary!$L$7*(G37+Summary!$L$13)-E37,0))</f>
        <v>0</v>
      </c>
      <c r="U37" s="39" t="n">
        <f aca="false">MAX(0,ROUNDUP(Summary!$L$8*(G37+Summary!$L$13)-E37,0))</f>
        <v>0</v>
      </c>
    </row>
    <row r="38" customFormat="false" ht="15" hidden="false" customHeight="false" outlineLevel="0" collapsed="false">
      <c r="A38" s="12" t="n">
        <v>33</v>
      </c>
      <c r="B38" s="12" t="s">
        <v>25</v>
      </c>
      <c r="C38" s="12" t="s">
        <v>183</v>
      </c>
      <c r="D38" s="32" t="s">
        <v>184</v>
      </c>
      <c r="E38" s="12" t="n">
        <v>284</v>
      </c>
      <c r="F38" s="12" t="n">
        <v>77</v>
      </c>
      <c r="G38" s="12" t="n">
        <v>361</v>
      </c>
      <c r="H38" s="36" t="n">
        <f aca="false">ROUND(E38/G38*100,0)/100</f>
        <v>0.79</v>
      </c>
      <c r="I38" s="12" t="str">
        <f aca="false">IF(H38&gt;=Summary!$L$6,"Eligible","Shortage")</f>
        <v>Eligible</v>
      </c>
      <c r="J38" s="12" t="str">
        <f aca="false">IF(H38&lt;Summary!$L$8,"YES","No")</f>
        <v>No</v>
      </c>
      <c r="K38" s="12" t="str">
        <f aca="false">IF(H38&gt;=Summary!$L$7,"Counted","Not Counted")</f>
        <v>Counted</v>
      </c>
      <c r="L38" s="17" t="n">
        <f aca="false">IF(H38&gt;=Summary!$L$6,20,ROUND(H38/Summary!$L$6*10,1)*2)</f>
        <v>20</v>
      </c>
      <c r="M38" s="37" t="n">
        <f aca="false">20-L38</f>
        <v>0</v>
      </c>
      <c r="N38" s="12" t="str">
        <f aca="false">IF(H38&gt;=Summary!$L$6,"75%+ (all benefits)",IF(H38&gt;=Summary!$L$7,"55-74%",IF(H38&gt;=Summary!$L$8,"30-54%","Below 30%")))</f>
        <v>75%+ (all benefits)</v>
      </c>
      <c r="O38" s="13" t="n">
        <f aca="false">(E38+Summary!$L$13)/(G38+Summary!$L$13)</f>
        <v>0.837552742616034</v>
      </c>
      <c r="P38" s="17" t="n">
        <f aca="false">IF(O38&gt;=Summary!$L$6,20,ROUND(O38/Summary!$L$6*10,1)*2)</f>
        <v>20</v>
      </c>
      <c r="Q38" s="38" t="n">
        <f aca="false">P38-L38</f>
        <v>0</v>
      </c>
      <c r="R38" s="12" t="str">
        <f aca="false">IF(O38&gt;=Summary!$L$6,"75%+ (all benefits)",IF(O38&gt;=Summary!$L$7,"55-74%",IF(O38&gt;=Summary!$L$8,"30-54%","Below 30%")))</f>
        <v>75%+ (all benefits)</v>
      </c>
      <c r="S38" s="39" t="n">
        <f aca="false">MAX(0,ROUNDUP(Summary!$L$6*(G38+Summary!$L$13)-E38,0))</f>
        <v>72</v>
      </c>
      <c r="T38" s="39" t="n">
        <f aca="false">MAX(0,ROUNDUP(Summary!$L$7*(G38+Summary!$L$13)-E38,0))</f>
        <v>0</v>
      </c>
      <c r="U38" s="39" t="n">
        <f aca="false">MAX(0,ROUNDUP(Summary!$L$8*(G38+Summary!$L$13)-E38,0))</f>
        <v>0</v>
      </c>
    </row>
    <row r="39" customFormat="false" ht="15" hidden="false" customHeight="false" outlineLevel="0" collapsed="false">
      <c r="A39" s="40" t="n">
        <v>34</v>
      </c>
      <c r="B39" s="40" t="s">
        <v>25</v>
      </c>
      <c r="C39" s="40" t="s">
        <v>185</v>
      </c>
      <c r="D39" s="41" t="s">
        <v>186</v>
      </c>
      <c r="E39" s="40" t="n">
        <v>267</v>
      </c>
      <c r="F39" s="40" t="n">
        <v>94</v>
      </c>
      <c r="G39" s="40" t="n">
        <v>361</v>
      </c>
      <c r="H39" s="36" t="n">
        <f aca="false">ROUND(E39/G39*100,0)/100</f>
        <v>0.74</v>
      </c>
      <c r="I39" s="12" t="str">
        <f aca="false">IF(H39&gt;=Summary!$L$6,"Eligible","Shortage")</f>
        <v>Shortage</v>
      </c>
      <c r="J39" s="12" t="str">
        <f aca="false">IF(H39&lt;Summary!$L$8,"YES","No")</f>
        <v>No</v>
      </c>
      <c r="K39" s="12" t="str">
        <f aca="false">IF(H39&gt;=Summary!$L$7,"Counted","Not Counted")</f>
        <v>Counted</v>
      </c>
      <c r="L39" s="17" t="n">
        <f aca="false">IF(H39&gt;=Summary!$L$6,20,ROUND(H39/Summary!$L$6*10,1)*2)</f>
        <v>19.8</v>
      </c>
      <c r="M39" s="37" t="n">
        <f aca="false">20-L39</f>
        <v>0.199999999999999</v>
      </c>
      <c r="N39" s="12" t="str">
        <f aca="false">IF(H39&gt;=Summary!$L$6,"75%+ (all benefits)",IF(H39&gt;=Summary!$L$7,"55-74%",IF(H39&gt;=Summary!$L$8,"30-54%","Below 30%")))</f>
        <v>55-74%</v>
      </c>
      <c r="O39" s="13" t="n">
        <f aca="false">(E39+Summary!$L$13)/(G39+Summary!$L$13)</f>
        <v>0.80168776371308</v>
      </c>
      <c r="P39" s="17" t="n">
        <f aca="false">IF(O39&gt;=Summary!$L$6,20,ROUND(O39/Summary!$L$6*10,1)*2)</f>
        <v>20</v>
      </c>
      <c r="Q39" s="38" t="n">
        <f aca="false">P39-L39</f>
        <v>0.199999999999999</v>
      </c>
      <c r="R39" s="12" t="str">
        <f aca="false">IF(O39&gt;=Summary!$L$6,"75%+ (all benefits)",IF(O39&gt;=Summary!$L$7,"55-74%",IF(O39&gt;=Summary!$L$8,"30-54%","Below 30%")))</f>
        <v>75%+ (all benefits)</v>
      </c>
      <c r="S39" s="39" t="n">
        <f aca="false">MAX(0,ROUNDUP(Summary!$L$6*(G39+Summary!$L$13)-E39,0))</f>
        <v>89</v>
      </c>
      <c r="T39" s="39" t="n">
        <f aca="false">MAX(0,ROUNDUP(Summary!$L$7*(G39+Summary!$L$13)-E39,0))</f>
        <v>0</v>
      </c>
      <c r="U39" s="39" t="n">
        <f aca="false">MAX(0,ROUNDUP(Summary!$L$8*(G39+Summary!$L$13)-E39,0))</f>
        <v>0</v>
      </c>
    </row>
    <row r="40" customFormat="false" ht="15" hidden="false" customHeight="false" outlineLevel="0" collapsed="false">
      <c r="A40" s="12" t="n">
        <v>35</v>
      </c>
      <c r="B40" s="12" t="s">
        <v>25</v>
      </c>
      <c r="C40" s="12" t="s">
        <v>187</v>
      </c>
      <c r="D40" s="32" t="s">
        <v>188</v>
      </c>
      <c r="E40" s="12" t="n">
        <v>231</v>
      </c>
      <c r="F40" s="12" t="n">
        <v>130</v>
      </c>
      <c r="G40" s="12" t="n">
        <v>361</v>
      </c>
      <c r="H40" s="36" t="n">
        <f aca="false">ROUND(E40/G40*100,0)/100</f>
        <v>0.64</v>
      </c>
      <c r="I40" s="12" t="str">
        <f aca="false">IF(H40&gt;=Summary!$L$6,"Eligible","Shortage")</f>
        <v>Shortage</v>
      </c>
      <c r="J40" s="12" t="str">
        <f aca="false">IF(H40&lt;Summary!$L$8,"YES","No")</f>
        <v>No</v>
      </c>
      <c r="K40" s="12" t="str">
        <f aca="false">IF(H40&gt;=Summary!$L$7,"Counted","Not Counted")</f>
        <v>Counted</v>
      </c>
      <c r="L40" s="17" t="n">
        <f aca="false">IF(H40&gt;=Summary!$L$6,20,ROUND(H40/Summary!$L$6*10,1)*2)</f>
        <v>17</v>
      </c>
      <c r="M40" s="37" t="n">
        <f aca="false">20-L40</f>
        <v>3</v>
      </c>
      <c r="N40" s="12" t="str">
        <f aca="false">IF(H40&gt;=Summary!$L$6,"75%+ (all benefits)",IF(H40&gt;=Summary!$L$7,"55-74%",IF(H40&gt;=Summary!$L$8,"30-54%","Below 30%")))</f>
        <v>55-74%</v>
      </c>
      <c r="O40" s="13" t="n">
        <f aca="false">(E40+Summary!$L$13)/(G40+Summary!$L$13)</f>
        <v>0.725738396624473</v>
      </c>
      <c r="P40" s="17" t="n">
        <f aca="false">IF(O40&gt;=Summary!$L$6,20,ROUND(O40/Summary!$L$6*10,1)*2)</f>
        <v>19.4</v>
      </c>
      <c r="Q40" s="38" t="n">
        <f aca="false">P40-L40</f>
        <v>2.4</v>
      </c>
      <c r="R40" s="12" t="str">
        <f aca="false">IF(O40&gt;=Summary!$L$6,"75%+ (all benefits)",IF(O40&gt;=Summary!$L$7,"55-74%",IF(O40&gt;=Summary!$L$8,"30-54%","Below 30%")))</f>
        <v>55-74%</v>
      </c>
      <c r="S40" s="39" t="n">
        <f aca="false">MAX(0,ROUNDUP(Summary!$L$6*(G40+Summary!$L$13)-E40,0))</f>
        <v>125</v>
      </c>
      <c r="T40" s="39" t="n">
        <f aca="false">MAX(0,ROUNDUP(Summary!$L$7*(G40+Summary!$L$13)-E40,0))</f>
        <v>30</v>
      </c>
      <c r="U40" s="39" t="n">
        <f aca="false">MAX(0,ROUNDUP(Summary!$L$8*(G40+Summary!$L$13)-E40,0))</f>
        <v>0</v>
      </c>
    </row>
    <row r="41" customFormat="false" ht="15" hidden="false" customHeight="false" outlineLevel="0" collapsed="false">
      <c r="A41" s="40" t="n">
        <v>36</v>
      </c>
      <c r="B41" s="40" t="s">
        <v>25</v>
      </c>
      <c r="C41" s="40" t="s">
        <v>189</v>
      </c>
      <c r="D41" s="41" t="s">
        <v>190</v>
      </c>
      <c r="E41" s="40" t="n">
        <v>239</v>
      </c>
      <c r="F41" s="40" t="n">
        <v>122</v>
      </c>
      <c r="G41" s="40" t="n">
        <v>361</v>
      </c>
      <c r="H41" s="36" t="n">
        <f aca="false">ROUND(E41/G41*100,0)/100</f>
        <v>0.66</v>
      </c>
      <c r="I41" s="12" t="str">
        <f aca="false">IF(H41&gt;=Summary!$L$6,"Eligible","Shortage")</f>
        <v>Shortage</v>
      </c>
      <c r="J41" s="12" t="str">
        <f aca="false">IF(H41&lt;Summary!$L$8,"YES","No")</f>
        <v>No</v>
      </c>
      <c r="K41" s="12" t="str">
        <f aca="false">IF(H41&gt;=Summary!$L$7,"Counted","Not Counted")</f>
        <v>Counted</v>
      </c>
      <c r="L41" s="17" t="n">
        <f aca="false">IF(H41&gt;=Summary!$L$6,20,ROUND(H41/Summary!$L$6*10,1)*2)</f>
        <v>17.6</v>
      </c>
      <c r="M41" s="37" t="n">
        <f aca="false">20-L41</f>
        <v>2.4</v>
      </c>
      <c r="N41" s="12" t="str">
        <f aca="false">IF(H41&gt;=Summary!$L$6,"75%+ (all benefits)",IF(H41&gt;=Summary!$L$7,"55-74%",IF(H41&gt;=Summary!$L$8,"30-54%","Below 30%")))</f>
        <v>55-74%</v>
      </c>
      <c r="O41" s="13" t="n">
        <f aca="false">(E41+Summary!$L$13)/(G41+Summary!$L$13)</f>
        <v>0.742616033755274</v>
      </c>
      <c r="P41" s="17" t="n">
        <f aca="false">IF(O41&gt;=Summary!$L$6,20,ROUND(O41/Summary!$L$6*10,1)*2)</f>
        <v>19.8</v>
      </c>
      <c r="Q41" s="38" t="n">
        <f aca="false">P41-L41</f>
        <v>2.2</v>
      </c>
      <c r="R41" s="12" t="str">
        <f aca="false">IF(O41&gt;=Summary!$L$6,"75%+ (all benefits)",IF(O41&gt;=Summary!$L$7,"55-74%",IF(O41&gt;=Summary!$L$8,"30-54%","Below 30%")))</f>
        <v>55-74%</v>
      </c>
      <c r="S41" s="39" t="n">
        <f aca="false">MAX(0,ROUNDUP(Summary!$L$6*(G41+Summary!$L$13)-E41,0))</f>
        <v>117</v>
      </c>
      <c r="T41" s="39" t="n">
        <f aca="false">MAX(0,ROUNDUP(Summary!$L$7*(G41+Summary!$L$13)-E41,0))</f>
        <v>22</v>
      </c>
      <c r="U41" s="39" t="n">
        <f aca="false">MAX(0,ROUNDUP(Summary!$L$8*(G41+Summary!$L$13)-E41,0))</f>
        <v>0</v>
      </c>
    </row>
    <row r="42" customFormat="false" ht="15" hidden="false" customHeight="false" outlineLevel="0" collapsed="false">
      <c r="A42" s="12" t="n">
        <v>37</v>
      </c>
      <c r="B42" s="12" t="s">
        <v>25</v>
      </c>
      <c r="C42" s="12" t="s">
        <v>191</v>
      </c>
      <c r="D42" s="32" t="s">
        <v>192</v>
      </c>
      <c r="E42" s="12" t="n">
        <v>224</v>
      </c>
      <c r="F42" s="12" t="n">
        <v>137</v>
      </c>
      <c r="G42" s="12" t="n">
        <v>361</v>
      </c>
      <c r="H42" s="36" t="n">
        <f aca="false">ROUND(E42/G42*100,0)/100</f>
        <v>0.62</v>
      </c>
      <c r="I42" s="12" t="str">
        <f aca="false">IF(H42&gt;=Summary!$L$6,"Eligible","Shortage")</f>
        <v>Shortage</v>
      </c>
      <c r="J42" s="12" t="str">
        <f aca="false">IF(H42&lt;Summary!$L$8,"YES","No")</f>
        <v>No</v>
      </c>
      <c r="K42" s="12" t="str">
        <f aca="false">IF(H42&gt;=Summary!$L$7,"Counted","Not Counted")</f>
        <v>Counted</v>
      </c>
      <c r="L42" s="17" t="n">
        <f aca="false">IF(H42&gt;=Summary!$L$6,20,ROUND(H42/Summary!$L$6*10,1)*2)</f>
        <v>16.6</v>
      </c>
      <c r="M42" s="37" t="n">
        <f aca="false">20-L42</f>
        <v>3.4</v>
      </c>
      <c r="N42" s="12" t="str">
        <f aca="false">IF(H42&gt;=Summary!$L$6,"75%+ (all benefits)",IF(H42&gt;=Summary!$L$7,"55-74%",IF(H42&gt;=Summary!$L$8,"30-54%","Below 30%")))</f>
        <v>55-74%</v>
      </c>
      <c r="O42" s="13" t="n">
        <f aca="false">(E42+Summary!$L$13)/(G42+Summary!$L$13)</f>
        <v>0.710970464135021</v>
      </c>
      <c r="P42" s="17" t="n">
        <f aca="false">IF(O42&gt;=Summary!$L$6,20,ROUND(O42/Summary!$L$6*10,1)*2)</f>
        <v>19</v>
      </c>
      <c r="Q42" s="38" t="n">
        <f aca="false">P42-L42</f>
        <v>2.4</v>
      </c>
      <c r="R42" s="12" t="str">
        <f aca="false">IF(O42&gt;=Summary!$L$6,"75%+ (all benefits)",IF(O42&gt;=Summary!$L$7,"55-74%",IF(O42&gt;=Summary!$L$8,"30-54%","Below 30%")))</f>
        <v>55-74%</v>
      </c>
      <c r="S42" s="39" t="n">
        <f aca="false">MAX(0,ROUNDUP(Summary!$L$6*(G42+Summary!$L$13)-E42,0))</f>
        <v>132</v>
      </c>
      <c r="T42" s="39" t="n">
        <f aca="false">MAX(0,ROUNDUP(Summary!$L$7*(G42+Summary!$L$13)-E42,0))</f>
        <v>37</v>
      </c>
      <c r="U42" s="39" t="n">
        <f aca="false">MAX(0,ROUNDUP(Summary!$L$8*(G42+Summary!$L$13)-E42,0))</f>
        <v>0</v>
      </c>
    </row>
    <row r="43" customFormat="false" ht="15" hidden="false" customHeight="false" outlineLevel="0" collapsed="false">
      <c r="A43" s="40" t="n">
        <v>38</v>
      </c>
      <c r="B43" s="40" t="s">
        <v>25</v>
      </c>
      <c r="C43" s="40" t="s">
        <v>193</v>
      </c>
      <c r="D43" s="41" t="s">
        <v>194</v>
      </c>
      <c r="E43" s="40" t="n">
        <v>228</v>
      </c>
      <c r="F43" s="40" t="n">
        <v>133</v>
      </c>
      <c r="G43" s="40" t="n">
        <v>361</v>
      </c>
      <c r="H43" s="36" t="n">
        <f aca="false">ROUND(E43/G43*100,0)/100</f>
        <v>0.63</v>
      </c>
      <c r="I43" s="12" t="str">
        <f aca="false">IF(H43&gt;=Summary!$L$6,"Eligible","Shortage")</f>
        <v>Shortage</v>
      </c>
      <c r="J43" s="12" t="str">
        <f aca="false">IF(H43&lt;Summary!$L$8,"YES","No")</f>
        <v>No</v>
      </c>
      <c r="K43" s="12" t="str">
        <f aca="false">IF(H43&gt;=Summary!$L$7,"Counted","Not Counted")</f>
        <v>Counted</v>
      </c>
      <c r="L43" s="17" t="n">
        <f aca="false">IF(H43&gt;=Summary!$L$6,20,ROUND(H43/Summary!$L$6*10,1)*2)</f>
        <v>16.8</v>
      </c>
      <c r="M43" s="37" t="n">
        <f aca="false">20-L43</f>
        <v>3.2</v>
      </c>
      <c r="N43" s="12" t="str">
        <f aca="false">IF(H43&gt;=Summary!$L$6,"75%+ (all benefits)",IF(H43&gt;=Summary!$L$7,"55-74%",IF(H43&gt;=Summary!$L$8,"30-54%","Below 30%")))</f>
        <v>55-74%</v>
      </c>
      <c r="O43" s="13" t="n">
        <f aca="false">(E43+Summary!$L$13)/(G43+Summary!$L$13)</f>
        <v>0.719409282700422</v>
      </c>
      <c r="P43" s="17" t="n">
        <f aca="false">IF(O43&gt;=Summary!$L$6,20,ROUND(O43/Summary!$L$6*10,1)*2)</f>
        <v>19.2</v>
      </c>
      <c r="Q43" s="38" t="n">
        <f aca="false">P43-L43</f>
        <v>2.4</v>
      </c>
      <c r="R43" s="12" t="str">
        <f aca="false">IF(O43&gt;=Summary!$L$6,"75%+ (all benefits)",IF(O43&gt;=Summary!$L$7,"55-74%",IF(O43&gt;=Summary!$L$8,"30-54%","Below 30%")))</f>
        <v>55-74%</v>
      </c>
      <c r="S43" s="39" t="n">
        <f aca="false">MAX(0,ROUNDUP(Summary!$L$6*(G43+Summary!$L$13)-E43,0))</f>
        <v>128</v>
      </c>
      <c r="T43" s="39" t="n">
        <f aca="false">MAX(0,ROUNDUP(Summary!$L$7*(G43+Summary!$L$13)-E43,0))</f>
        <v>33</v>
      </c>
      <c r="U43" s="39" t="n">
        <f aca="false">MAX(0,ROUNDUP(Summary!$L$8*(G43+Summary!$L$13)-E43,0))</f>
        <v>0</v>
      </c>
    </row>
    <row r="44" customFormat="false" ht="15" hidden="false" customHeight="false" outlineLevel="0" collapsed="false">
      <c r="A44" s="12" t="n">
        <v>39</v>
      </c>
      <c r="B44" s="12" t="s">
        <v>25</v>
      </c>
      <c r="C44" s="12" t="s">
        <v>63</v>
      </c>
      <c r="D44" s="32" t="s">
        <v>64</v>
      </c>
      <c r="E44" s="12" t="n">
        <v>80</v>
      </c>
      <c r="F44" s="12" t="n">
        <v>281</v>
      </c>
      <c r="G44" s="12" t="n">
        <v>361</v>
      </c>
      <c r="H44" s="36" t="n">
        <f aca="false">ROUND(E44/G44*100,0)/100</f>
        <v>0.22</v>
      </c>
      <c r="I44" s="12" t="str">
        <f aca="false">IF(H44&gt;=Summary!$L$6,"Eligible","Shortage")</f>
        <v>Shortage</v>
      </c>
      <c r="J44" s="12" t="str">
        <f aca="false">IF(H44&lt;Summary!$L$8,"YES","No")</f>
        <v>YES</v>
      </c>
      <c r="K44" s="12" t="str">
        <f aca="false">IF(H44&gt;=Summary!$L$7,"Counted","Not Counted")</f>
        <v>Not Counted</v>
      </c>
      <c r="L44" s="17" t="n">
        <f aca="false">IF(H44&gt;=Summary!$L$6,20,ROUND(H44/Summary!$L$6*10,1)*2)</f>
        <v>5.8</v>
      </c>
      <c r="M44" s="37" t="n">
        <f aca="false">20-L44</f>
        <v>14.2</v>
      </c>
      <c r="N44" s="12" t="str">
        <f aca="false">IF(H44&gt;=Summary!$L$6,"75%+ (all benefits)",IF(H44&gt;=Summary!$L$7,"55-74%",IF(H44&gt;=Summary!$L$8,"30-54%","Below 30%")))</f>
        <v>Below 30%</v>
      </c>
      <c r="O44" s="13" t="n">
        <f aca="false">(E44+Summary!$L$13)/(G44+Summary!$L$13)</f>
        <v>0.407172995780591</v>
      </c>
      <c r="P44" s="17" t="n">
        <f aca="false">IF(O44&gt;=Summary!$L$6,20,ROUND(O44/Summary!$L$6*10,1)*2)</f>
        <v>10.8</v>
      </c>
      <c r="Q44" s="38" t="n">
        <f aca="false">P44-L44</f>
        <v>5</v>
      </c>
      <c r="R44" s="12" t="str">
        <f aca="false">IF(O44&gt;=Summary!$L$6,"75%+ (all benefits)",IF(O44&gt;=Summary!$L$7,"55-74%",IF(O44&gt;=Summary!$L$8,"30-54%","Below 30%")))</f>
        <v>30-54%</v>
      </c>
      <c r="S44" s="39" t="n">
        <f aca="false">MAX(0,ROUNDUP(Summary!$L$6*(G44+Summary!$L$13)-E44,0))</f>
        <v>276</v>
      </c>
      <c r="T44" s="39" t="n">
        <f aca="false">MAX(0,ROUNDUP(Summary!$L$7*(G44+Summary!$L$13)-E44,0))</f>
        <v>181</v>
      </c>
      <c r="U44" s="39" t="n">
        <f aca="false">MAX(0,ROUNDUP(Summary!$L$8*(G44+Summary!$L$13)-E44,0))</f>
        <v>63</v>
      </c>
    </row>
    <row r="45" customFormat="false" ht="15" hidden="false" customHeight="false" outlineLevel="0" collapsed="false">
      <c r="A45" s="40" t="n">
        <v>40</v>
      </c>
      <c r="B45" s="40" t="s">
        <v>25</v>
      </c>
      <c r="C45" s="40" t="s">
        <v>195</v>
      </c>
      <c r="D45" s="41" t="s">
        <v>196</v>
      </c>
      <c r="E45" s="40" t="n">
        <v>171</v>
      </c>
      <c r="F45" s="40" t="n">
        <v>190</v>
      </c>
      <c r="G45" s="40" t="n">
        <v>361</v>
      </c>
      <c r="H45" s="36" t="n">
        <f aca="false">ROUND(E45/G45*100,0)/100</f>
        <v>0.47</v>
      </c>
      <c r="I45" s="12" t="str">
        <f aca="false">IF(H45&gt;=Summary!$L$6,"Eligible","Shortage")</f>
        <v>Shortage</v>
      </c>
      <c r="J45" s="12" t="str">
        <f aca="false">IF(H45&lt;Summary!$L$8,"YES","No")</f>
        <v>No</v>
      </c>
      <c r="K45" s="12" t="str">
        <f aca="false">IF(H45&gt;=Summary!$L$7,"Counted","Not Counted")</f>
        <v>Not Counted</v>
      </c>
      <c r="L45" s="17" t="n">
        <f aca="false">IF(H45&gt;=Summary!$L$6,20,ROUND(H45/Summary!$L$6*10,1)*2)</f>
        <v>12.6</v>
      </c>
      <c r="M45" s="37" t="n">
        <f aca="false">20-L45</f>
        <v>7.4</v>
      </c>
      <c r="N45" s="12" t="str">
        <f aca="false">IF(H45&gt;=Summary!$L$6,"75%+ (all benefits)",IF(H45&gt;=Summary!$L$7,"55-74%",IF(H45&gt;=Summary!$L$8,"30-54%","Below 30%")))</f>
        <v>30-54%</v>
      </c>
      <c r="O45" s="13" t="n">
        <f aca="false">(E45+Summary!$L$13)/(G45+Summary!$L$13)</f>
        <v>0.59915611814346</v>
      </c>
      <c r="P45" s="17" t="n">
        <f aca="false">IF(O45&gt;=Summary!$L$6,20,ROUND(O45/Summary!$L$6*10,1)*2)</f>
        <v>16</v>
      </c>
      <c r="Q45" s="38" t="n">
        <f aca="false">P45-L45</f>
        <v>3.4</v>
      </c>
      <c r="R45" s="12" t="str">
        <f aca="false">IF(O45&gt;=Summary!$L$6,"75%+ (all benefits)",IF(O45&gt;=Summary!$L$7,"55-74%",IF(O45&gt;=Summary!$L$8,"30-54%","Below 30%")))</f>
        <v>55-74%</v>
      </c>
      <c r="S45" s="39" t="n">
        <f aca="false">MAX(0,ROUNDUP(Summary!$L$6*(G45+Summary!$L$13)-E45,0))</f>
        <v>185</v>
      </c>
      <c r="T45" s="39" t="n">
        <f aca="false">MAX(0,ROUNDUP(Summary!$L$7*(G45+Summary!$L$13)-E45,0))</f>
        <v>90</v>
      </c>
      <c r="U45" s="39" t="n">
        <f aca="false">MAX(0,ROUNDUP(Summary!$L$8*(G45+Summary!$L$13)-E45,0))</f>
        <v>0</v>
      </c>
    </row>
    <row r="46" customFormat="false" ht="15" hidden="false" customHeight="false" outlineLevel="0" collapsed="false">
      <c r="A46" s="12" t="n">
        <v>41</v>
      </c>
      <c r="B46" s="12" t="s">
        <v>25</v>
      </c>
      <c r="C46" s="12" t="s">
        <v>197</v>
      </c>
      <c r="D46" s="32" t="s">
        <v>198</v>
      </c>
      <c r="E46" s="12" t="n">
        <v>264</v>
      </c>
      <c r="F46" s="12" t="n">
        <v>97</v>
      </c>
      <c r="G46" s="12" t="n">
        <v>361</v>
      </c>
      <c r="H46" s="36" t="n">
        <f aca="false">ROUND(E46/G46*100,0)/100</f>
        <v>0.73</v>
      </c>
      <c r="I46" s="12" t="str">
        <f aca="false">IF(H46&gt;=Summary!$L$6,"Eligible","Shortage")</f>
        <v>Shortage</v>
      </c>
      <c r="J46" s="12" t="str">
        <f aca="false">IF(H46&lt;Summary!$L$8,"YES","No")</f>
        <v>No</v>
      </c>
      <c r="K46" s="12" t="str">
        <f aca="false">IF(H46&gt;=Summary!$L$7,"Counted","Not Counted")</f>
        <v>Counted</v>
      </c>
      <c r="L46" s="17" t="n">
        <f aca="false">IF(H46&gt;=Summary!$L$6,20,ROUND(H46/Summary!$L$6*10,1)*2)</f>
        <v>19.4</v>
      </c>
      <c r="M46" s="37" t="n">
        <f aca="false">20-L46</f>
        <v>0.600000000000001</v>
      </c>
      <c r="N46" s="12" t="str">
        <f aca="false">IF(H46&gt;=Summary!$L$6,"75%+ (all benefits)",IF(H46&gt;=Summary!$L$7,"55-74%",IF(H46&gt;=Summary!$L$8,"30-54%","Below 30%")))</f>
        <v>55-74%</v>
      </c>
      <c r="O46" s="13" t="n">
        <f aca="false">(E46+Summary!$L$13)/(G46+Summary!$L$13)</f>
        <v>0.79535864978903</v>
      </c>
      <c r="P46" s="17" t="n">
        <f aca="false">IF(O46&gt;=Summary!$L$6,20,ROUND(O46/Summary!$L$6*10,1)*2)</f>
        <v>20</v>
      </c>
      <c r="Q46" s="38" t="n">
        <f aca="false">P46-L46</f>
        <v>0.600000000000001</v>
      </c>
      <c r="R46" s="12" t="str">
        <f aca="false">IF(O46&gt;=Summary!$L$6,"75%+ (all benefits)",IF(O46&gt;=Summary!$L$7,"55-74%",IF(O46&gt;=Summary!$L$8,"30-54%","Below 30%")))</f>
        <v>75%+ (all benefits)</v>
      </c>
      <c r="S46" s="39" t="n">
        <f aca="false">MAX(0,ROUNDUP(Summary!$L$6*(G46+Summary!$L$13)-E46,0))</f>
        <v>92</v>
      </c>
      <c r="T46" s="39" t="n">
        <f aca="false">MAX(0,ROUNDUP(Summary!$L$7*(G46+Summary!$L$13)-E46,0))</f>
        <v>0</v>
      </c>
      <c r="U46" s="39" t="n">
        <f aca="false">MAX(0,ROUNDUP(Summary!$L$8*(G46+Summary!$L$13)-E46,0))</f>
        <v>0</v>
      </c>
    </row>
    <row r="47" customFormat="false" ht="15" hidden="false" customHeight="false" outlineLevel="0" collapsed="false">
      <c r="A47" s="40" t="n">
        <v>42</v>
      </c>
      <c r="B47" s="40" t="s">
        <v>25</v>
      </c>
      <c r="C47" s="40" t="s">
        <v>65</v>
      </c>
      <c r="D47" s="41" t="s">
        <v>66</v>
      </c>
      <c r="E47" s="40" t="n">
        <v>95</v>
      </c>
      <c r="F47" s="40" t="n">
        <v>266</v>
      </c>
      <c r="G47" s="40" t="n">
        <v>361</v>
      </c>
      <c r="H47" s="36" t="n">
        <f aca="false">ROUND(E47/G47*100,0)/100</f>
        <v>0.26</v>
      </c>
      <c r="I47" s="12" t="str">
        <f aca="false">IF(H47&gt;=Summary!$L$6,"Eligible","Shortage")</f>
        <v>Shortage</v>
      </c>
      <c r="J47" s="12" t="str">
        <f aca="false">IF(H47&lt;Summary!$L$8,"YES","No")</f>
        <v>YES</v>
      </c>
      <c r="K47" s="12" t="str">
        <f aca="false">IF(H47&gt;=Summary!$L$7,"Counted","Not Counted")</f>
        <v>Not Counted</v>
      </c>
      <c r="L47" s="17" t="n">
        <f aca="false">IF(H47&gt;=Summary!$L$6,20,ROUND(H47/Summary!$L$6*10,1)*2)</f>
        <v>7</v>
      </c>
      <c r="M47" s="37" t="n">
        <f aca="false">20-L47</f>
        <v>13</v>
      </c>
      <c r="N47" s="12" t="str">
        <f aca="false">IF(H47&gt;=Summary!$L$6,"75%+ (all benefits)",IF(H47&gt;=Summary!$L$7,"55-74%",IF(H47&gt;=Summary!$L$8,"30-54%","Below 30%")))</f>
        <v>Below 30%</v>
      </c>
      <c r="O47" s="13" t="n">
        <f aca="false">(E47+Summary!$L$13)/(G47+Summary!$L$13)</f>
        <v>0.438818565400844</v>
      </c>
      <c r="P47" s="17" t="n">
        <f aca="false">IF(O47&gt;=Summary!$L$6,20,ROUND(O47/Summary!$L$6*10,1)*2)</f>
        <v>11.8</v>
      </c>
      <c r="Q47" s="38" t="n">
        <f aca="false">P47-L47</f>
        <v>4.8</v>
      </c>
      <c r="R47" s="12" t="str">
        <f aca="false">IF(O47&gt;=Summary!$L$6,"75%+ (all benefits)",IF(O47&gt;=Summary!$L$7,"55-74%",IF(O47&gt;=Summary!$L$8,"30-54%","Below 30%")))</f>
        <v>30-54%</v>
      </c>
      <c r="S47" s="39" t="n">
        <f aca="false">MAX(0,ROUNDUP(Summary!$L$6*(G47+Summary!$L$13)-E47,0))</f>
        <v>261</v>
      </c>
      <c r="T47" s="39" t="n">
        <f aca="false">MAX(0,ROUNDUP(Summary!$L$7*(G47+Summary!$L$13)-E47,0))</f>
        <v>166</v>
      </c>
      <c r="U47" s="39" t="n">
        <f aca="false">MAX(0,ROUNDUP(Summary!$L$8*(G47+Summary!$L$13)-E47,0))</f>
        <v>48</v>
      </c>
    </row>
    <row r="48" customFormat="false" ht="15" hidden="false" customHeight="false" outlineLevel="0" collapsed="false">
      <c r="A48" s="12" t="n">
        <v>43</v>
      </c>
      <c r="B48" s="12" t="s">
        <v>25</v>
      </c>
      <c r="C48" s="12" t="s">
        <v>199</v>
      </c>
      <c r="D48" s="32" t="s">
        <v>200</v>
      </c>
      <c r="E48" s="12" t="n">
        <v>294</v>
      </c>
      <c r="F48" s="12" t="n">
        <v>67</v>
      </c>
      <c r="G48" s="12" t="n">
        <v>361</v>
      </c>
      <c r="H48" s="36" t="n">
        <f aca="false">ROUND(E48/G48*100,0)/100</f>
        <v>0.81</v>
      </c>
      <c r="I48" s="12" t="str">
        <f aca="false">IF(H48&gt;=Summary!$L$6,"Eligible","Shortage")</f>
        <v>Eligible</v>
      </c>
      <c r="J48" s="12" t="str">
        <f aca="false">IF(H48&lt;Summary!$L$8,"YES","No")</f>
        <v>No</v>
      </c>
      <c r="K48" s="12" t="str">
        <f aca="false">IF(H48&gt;=Summary!$L$7,"Counted","Not Counted")</f>
        <v>Counted</v>
      </c>
      <c r="L48" s="17" t="n">
        <f aca="false">IF(H48&gt;=Summary!$L$6,20,ROUND(H48/Summary!$L$6*10,1)*2)</f>
        <v>20</v>
      </c>
      <c r="M48" s="37" t="n">
        <f aca="false">20-L48</f>
        <v>0</v>
      </c>
      <c r="N48" s="12" t="str">
        <f aca="false">IF(H48&gt;=Summary!$L$6,"75%+ (all benefits)",IF(H48&gt;=Summary!$L$7,"55-74%",IF(H48&gt;=Summary!$L$8,"30-54%","Below 30%")))</f>
        <v>75%+ (all benefits)</v>
      </c>
      <c r="O48" s="13" t="n">
        <f aca="false">(E48+Summary!$L$13)/(G48+Summary!$L$13)</f>
        <v>0.858649789029536</v>
      </c>
      <c r="P48" s="17" t="n">
        <f aca="false">IF(O48&gt;=Summary!$L$6,20,ROUND(O48/Summary!$L$6*10,1)*2)</f>
        <v>20</v>
      </c>
      <c r="Q48" s="38" t="n">
        <f aca="false">P48-L48</f>
        <v>0</v>
      </c>
      <c r="R48" s="12" t="str">
        <f aca="false">IF(O48&gt;=Summary!$L$6,"75%+ (all benefits)",IF(O48&gt;=Summary!$L$7,"55-74%",IF(O48&gt;=Summary!$L$8,"30-54%","Below 30%")))</f>
        <v>75%+ (all benefits)</v>
      </c>
      <c r="S48" s="39" t="n">
        <f aca="false">MAX(0,ROUNDUP(Summary!$L$6*(G48+Summary!$L$13)-E48,0))</f>
        <v>62</v>
      </c>
      <c r="T48" s="39" t="n">
        <f aca="false">MAX(0,ROUNDUP(Summary!$L$7*(G48+Summary!$L$13)-E48,0))</f>
        <v>0</v>
      </c>
      <c r="U48" s="39" t="n">
        <f aca="false">MAX(0,ROUNDUP(Summary!$L$8*(G48+Summary!$L$13)-E48,0))</f>
        <v>0</v>
      </c>
    </row>
    <row r="49" customFormat="false" ht="15" hidden="false" customHeight="false" outlineLevel="0" collapsed="false">
      <c r="A49" s="40" t="n">
        <v>44</v>
      </c>
      <c r="B49" s="40" t="s">
        <v>25</v>
      </c>
      <c r="C49" s="40" t="s">
        <v>201</v>
      </c>
      <c r="D49" s="41" t="s">
        <v>202</v>
      </c>
      <c r="E49" s="40" t="n">
        <v>125</v>
      </c>
      <c r="F49" s="40" t="n">
        <v>236</v>
      </c>
      <c r="G49" s="40" t="n">
        <v>361</v>
      </c>
      <c r="H49" s="36" t="n">
        <f aca="false">ROUND(E49/G49*100,0)/100</f>
        <v>0.35</v>
      </c>
      <c r="I49" s="12" t="str">
        <f aca="false">IF(H49&gt;=Summary!$L$6,"Eligible","Shortage")</f>
        <v>Shortage</v>
      </c>
      <c r="J49" s="12" t="str">
        <f aca="false">IF(H49&lt;Summary!$L$8,"YES","No")</f>
        <v>No</v>
      </c>
      <c r="K49" s="12" t="str">
        <f aca="false">IF(H49&gt;=Summary!$L$7,"Counted","Not Counted")</f>
        <v>Not Counted</v>
      </c>
      <c r="L49" s="17" t="n">
        <f aca="false">IF(H49&gt;=Summary!$L$6,20,ROUND(H49/Summary!$L$6*10,1)*2)</f>
        <v>9.4</v>
      </c>
      <c r="M49" s="37" t="n">
        <f aca="false">20-L49</f>
        <v>10.6</v>
      </c>
      <c r="N49" s="12" t="str">
        <f aca="false">IF(H49&gt;=Summary!$L$6,"75%+ (all benefits)",IF(H49&gt;=Summary!$L$7,"55-74%",IF(H49&gt;=Summary!$L$8,"30-54%","Below 30%")))</f>
        <v>30-54%</v>
      </c>
      <c r="O49" s="13" t="n">
        <f aca="false">(E49+Summary!$L$13)/(G49+Summary!$L$13)</f>
        <v>0.50210970464135</v>
      </c>
      <c r="P49" s="17" t="n">
        <f aca="false">IF(O49&gt;=Summary!$L$6,20,ROUND(O49/Summary!$L$6*10,1)*2)</f>
        <v>13.4</v>
      </c>
      <c r="Q49" s="38" t="n">
        <f aca="false">P49-L49</f>
        <v>4</v>
      </c>
      <c r="R49" s="12" t="str">
        <f aca="false">IF(O49&gt;=Summary!$L$6,"75%+ (all benefits)",IF(O49&gt;=Summary!$L$7,"55-74%",IF(O49&gt;=Summary!$L$8,"30-54%","Below 30%")))</f>
        <v>30-54%</v>
      </c>
      <c r="S49" s="39" t="n">
        <f aca="false">MAX(0,ROUNDUP(Summary!$L$6*(G49+Summary!$L$13)-E49,0))</f>
        <v>231</v>
      </c>
      <c r="T49" s="39" t="n">
        <f aca="false">MAX(0,ROUNDUP(Summary!$L$7*(G49+Summary!$L$13)-E49,0))</f>
        <v>136</v>
      </c>
      <c r="U49" s="39" t="n">
        <f aca="false">MAX(0,ROUNDUP(Summary!$L$8*(G49+Summary!$L$13)-E49,0))</f>
        <v>18</v>
      </c>
    </row>
    <row r="50" customFormat="false" ht="15" hidden="false" customHeight="false" outlineLevel="0" collapsed="false">
      <c r="A50" s="12" t="n">
        <v>45</v>
      </c>
      <c r="B50" s="12" t="s">
        <v>25</v>
      </c>
      <c r="C50" s="12" t="s">
        <v>203</v>
      </c>
      <c r="D50" s="32" t="s">
        <v>204</v>
      </c>
      <c r="E50" s="12" t="n">
        <v>308</v>
      </c>
      <c r="F50" s="12" t="n">
        <v>53</v>
      </c>
      <c r="G50" s="12" t="n">
        <v>361</v>
      </c>
      <c r="H50" s="36" t="n">
        <f aca="false">ROUND(E50/G50*100,0)/100</f>
        <v>0.85</v>
      </c>
      <c r="I50" s="12" t="str">
        <f aca="false">IF(H50&gt;=Summary!$L$6,"Eligible","Shortage")</f>
        <v>Eligible</v>
      </c>
      <c r="J50" s="12" t="str">
        <f aca="false">IF(H50&lt;Summary!$L$8,"YES","No")</f>
        <v>No</v>
      </c>
      <c r="K50" s="12" t="str">
        <f aca="false">IF(H50&gt;=Summary!$L$7,"Counted","Not Counted")</f>
        <v>Counted</v>
      </c>
      <c r="L50" s="17" t="n">
        <f aca="false">IF(H50&gt;=Summary!$L$6,20,ROUND(H50/Summary!$L$6*10,1)*2)</f>
        <v>20</v>
      </c>
      <c r="M50" s="37" t="n">
        <f aca="false">20-L50</f>
        <v>0</v>
      </c>
      <c r="N50" s="12" t="str">
        <f aca="false">IF(H50&gt;=Summary!$L$6,"75%+ (all benefits)",IF(H50&gt;=Summary!$L$7,"55-74%",IF(H50&gt;=Summary!$L$8,"30-54%","Below 30%")))</f>
        <v>75%+ (all benefits)</v>
      </c>
      <c r="O50" s="13" t="n">
        <f aca="false">(E50+Summary!$L$13)/(G50+Summary!$L$13)</f>
        <v>0.888185654008439</v>
      </c>
      <c r="P50" s="17" t="n">
        <f aca="false">IF(O50&gt;=Summary!$L$6,20,ROUND(O50/Summary!$L$6*10,1)*2)</f>
        <v>20</v>
      </c>
      <c r="Q50" s="38" t="n">
        <f aca="false">P50-L50</f>
        <v>0</v>
      </c>
      <c r="R50" s="12" t="str">
        <f aca="false">IF(O50&gt;=Summary!$L$6,"75%+ (all benefits)",IF(O50&gt;=Summary!$L$7,"55-74%",IF(O50&gt;=Summary!$L$8,"30-54%","Below 30%")))</f>
        <v>75%+ (all benefits)</v>
      </c>
      <c r="S50" s="39" t="n">
        <f aca="false">MAX(0,ROUNDUP(Summary!$L$6*(G50+Summary!$L$13)-E50,0))</f>
        <v>48</v>
      </c>
      <c r="T50" s="39" t="n">
        <f aca="false">MAX(0,ROUNDUP(Summary!$L$7*(G50+Summary!$L$13)-E50,0))</f>
        <v>0</v>
      </c>
      <c r="U50" s="39" t="n">
        <f aca="false">MAX(0,ROUNDUP(Summary!$L$8*(G50+Summary!$L$13)-E50,0))</f>
        <v>0</v>
      </c>
    </row>
    <row r="51" customFormat="false" ht="15" hidden="false" customHeight="false" outlineLevel="0" collapsed="false">
      <c r="A51" s="40" t="n">
        <v>46</v>
      </c>
      <c r="B51" s="40" t="s">
        <v>25</v>
      </c>
      <c r="C51" s="40" t="s">
        <v>205</v>
      </c>
      <c r="D51" s="41" t="s">
        <v>206</v>
      </c>
      <c r="E51" s="40" t="n">
        <v>293</v>
      </c>
      <c r="F51" s="40" t="n">
        <v>68</v>
      </c>
      <c r="G51" s="40" t="n">
        <v>361</v>
      </c>
      <c r="H51" s="36" t="n">
        <f aca="false">ROUND(E51/G51*100,0)/100</f>
        <v>0.81</v>
      </c>
      <c r="I51" s="12" t="str">
        <f aca="false">IF(H51&gt;=Summary!$L$6,"Eligible","Shortage")</f>
        <v>Eligible</v>
      </c>
      <c r="J51" s="12" t="str">
        <f aca="false">IF(H51&lt;Summary!$L$8,"YES","No")</f>
        <v>No</v>
      </c>
      <c r="K51" s="12" t="str">
        <f aca="false">IF(H51&gt;=Summary!$L$7,"Counted","Not Counted")</f>
        <v>Counted</v>
      </c>
      <c r="L51" s="17" t="n">
        <f aca="false">IF(H51&gt;=Summary!$L$6,20,ROUND(H51/Summary!$L$6*10,1)*2)</f>
        <v>20</v>
      </c>
      <c r="M51" s="37" t="n">
        <f aca="false">20-L51</f>
        <v>0</v>
      </c>
      <c r="N51" s="12" t="str">
        <f aca="false">IF(H51&gt;=Summary!$L$6,"75%+ (all benefits)",IF(H51&gt;=Summary!$L$7,"55-74%",IF(H51&gt;=Summary!$L$8,"30-54%","Below 30%")))</f>
        <v>75%+ (all benefits)</v>
      </c>
      <c r="O51" s="13" t="n">
        <f aca="false">(E51+Summary!$L$13)/(G51+Summary!$L$13)</f>
        <v>0.856540084388186</v>
      </c>
      <c r="P51" s="17" t="n">
        <f aca="false">IF(O51&gt;=Summary!$L$6,20,ROUND(O51/Summary!$L$6*10,1)*2)</f>
        <v>20</v>
      </c>
      <c r="Q51" s="38" t="n">
        <f aca="false">P51-L51</f>
        <v>0</v>
      </c>
      <c r="R51" s="12" t="str">
        <f aca="false">IF(O51&gt;=Summary!$L$6,"75%+ (all benefits)",IF(O51&gt;=Summary!$L$7,"55-74%",IF(O51&gt;=Summary!$L$8,"30-54%","Below 30%")))</f>
        <v>75%+ (all benefits)</v>
      </c>
      <c r="S51" s="39" t="n">
        <f aca="false">MAX(0,ROUNDUP(Summary!$L$6*(G51+Summary!$L$13)-E51,0))</f>
        <v>63</v>
      </c>
      <c r="T51" s="39" t="n">
        <f aca="false">MAX(0,ROUNDUP(Summary!$L$7*(G51+Summary!$L$13)-E51,0))</f>
        <v>0</v>
      </c>
      <c r="U51" s="39" t="n">
        <f aca="false">MAX(0,ROUNDUP(Summary!$L$8*(G51+Summary!$L$13)-E51,0))</f>
        <v>0</v>
      </c>
    </row>
    <row r="52" customFormat="false" ht="15" hidden="false" customHeight="false" outlineLevel="0" collapsed="false">
      <c r="A52" s="12" t="n">
        <v>47</v>
      </c>
      <c r="B52" s="12" t="s">
        <v>25</v>
      </c>
      <c r="C52" s="12" t="s">
        <v>57</v>
      </c>
      <c r="D52" s="32" t="s">
        <v>58</v>
      </c>
      <c r="E52" s="12" t="n">
        <v>65</v>
      </c>
      <c r="F52" s="12" t="n">
        <v>296</v>
      </c>
      <c r="G52" s="12" t="n">
        <v>361</v>
      </c>
      <c r="H52" s="36" t="n">
        <f aca="false">ROUND(E52/G52*100,0)/100</f>
        <v>0.18</v>
      </c>
      <c r="I52" s="12" t="str">
        <f aca="false">IF(H52&gt;=Summary!$L$6,"Eligible","Shortage")</f>
        <v>Shortage</v>
      </c>
      <c r="J52" s="12" t="str">
        <f aca="false">IF(H52&lt;Summary!$L$8,"YES","No")</f>
        <v>YES</v>
      </c>
      <c r="K52" s="12" t="str">
        <f aca="false">IF(H52&gt;=Summary!$L$7,"Counted","Not Counted")</f>
        <v>Not Counted</v>
      </c>
      <c r="L52" s="17" t="n">
        <f aca="false">IF(H52&gt;=Summary!$L$6,20,ROUND(H52/Summary!$L$6*10,1)*2)</f>
        <v>4.8</v>
      </c>
      <c r="M52" s="37" t="n">
        <f aca="false">20-L52</f>
        <v>15.2</v>
      </c>
      <c r="N52" s="12" t="str">
        <f aca="false">IF(H52&gt;=Summary!$L$6,"75%+ (all benefits)",IF(H52&gt;=Summary!$L$7,"55-74%",IF(H52&gt;=Summary!$L$8,"30-54%","Below 30%")))</f>
        <v>Below 30%</v>
      </c>
      <c r="O52" s="13" t="n">
        <f aca="false">(E52+Summary!$L$13)/(G52+Summary!$L$13)</f>
        <v>0.375527426160338</v>
      </c>
      <c r="P52" s="17" t="n">
        <f aca="false">IF(O52&gt;=Summary!$L$6,20,ROUND(O52/Summary!$L$6*10,1)*2)</f>
        <v>10</v>
      </c>
      <c r="Q52" s="38" t="n">
        <f aca="false">P52-L52</f>
        <v>5.2</v>
      </c>
      <c r="R52" s="12" t="str">
        <f aca="false">IF(O52&gt;=Summary!$L$6,"75%+ (all benefits)",IF(O52&gt;=Summary!$L$7,"55-74%",IF(O52&gt;=Summary!$L$8,"30-54%","Below 30%")))</f>
        <v>30-54%</v>
      </c>
      <c r="S52" s="39" t="n">
        <f aca="false">MAX(0,ROUNDUP(Summary!$L$6*(G52+Summary!$L$13)-E52,0))</f>
        <v>291</v>
      </c>
      <c r="T52" s="39" t="n">
        <f aca="false">MAX(0,ROUNDUP(Summary!$L$7*(G52+Summary!$L$13)-E52,0))</f>
        <v>196</v>
      </c>
      <c r="U52" s="39" t="n">
        <f aca="false">MAX(0,ROUNDUP(Summary!$L$8*(G52+Summary!$L$13)-E52,0))</f>
        <v>78</v>
      </c>
    </row>
    <row r="53" customFormat="false" ht="15" hidden="false" customHeight="false" outlineLevel="0" collapsed="false">
      <c r="A53" s="40" t="n">
        <v>48</v>
      </c>
      <c r="B53" s="40" t="s">
        <v>25</v>
      </c>
      <c r="C53" s="40" t="s">
        <v>207</v>
      </c>
      <c r="D53" s="41" t="s">
        <v>208</v>
      </c>
      <c r="E53" s="40" t="n">
        <v>265</v>
      </c>
      <c r="F53" s="40" t="n">
        <v>96</v>
      </c>
      <c r="G53" s="40" t="n">
        <v>361</v>
      </c>
      <c r="H53" s="36" t="n">
        <f aca="false">ROUND(E53/G53*100,0)/100</f>
        <v>0.73</v>
      </c>
      <c r="I53" s="12" t="str">
        <f aca="false">IF(H53&gt;=Summary!$L$6,"Eligible","Shortage")</f>
        <v>Shortage</v>
      </c>
      <c r="J53" s="12" t="str">
        <f aca="false">IF(H53&lt;Summary!$L$8,"YES","No")</f>
        <v>No</v>
      </c>
      <c r="K53" s="12" t="str">
        <f aca="false">IF(H53&gt;=Summary!$L$7,"Counted","Not Counted")</f>
        <v>Counted</v>
      </c>
      <c r="L53" s="17" t="n">
        <f aca="false">IF(H53&gt;=Summary!$L$6,20,ROUND(H53/Summary!$L$6*10,1)*2)</f>
        <v>19.4</v>
      </c>
      <c r="M53" s="37" t="n">
        <f aca="false">20-L53</f>
        <v>0.600000000000001</v>
      </c>
      <c r="N53" s="12" t="str">
        <f aca="false">IF(H53&gt;=Summary!$L$6,"75%+ (all benefits)",IF(H53&gt;=Summary!$L$7,"55-74%",IF(H53&gt;=Summary!$L$8,"30-54%","Below 30%")))</f>
        <v>55-74%</v>
      </c>
      <c r="O53" s="13" t="n">
        <f aca="false">(E53+Summary!$L$13)/(G53+Summary!$L$13)</f>
        <v>0.79746835443038</v>
      </c>
      <c r="P53" s="17" t="n">
        <f aca="false">IF(O53&gt;=Summary!$L$6,20,ROUND(O53/Summary!$L$6*10,1)*2)</f>
        <v>20</v>
      </c>
      <c r="Q53" s="38" t="n">
        <f aca="false">P53-L53</f>
        <v>0.600000000000001</v>
      </c>
      <c r="R53" s="12" t="str">
        <f aca="false">IF(O53&gt;=Summary!$L$6,"75%+ (all benefits)",IF(O53&gt;=Summary!$L$7,"55-74%",IF(O53&gt;=Summary!$L$8,"30-54%","Below 30%")))</f>
        <v>75%+ (all benefits)</v>
      </c>
      <c r="S53" s="39" t="n">
        <f aca="false">MAX(0,ROUNDUP(Summary!$L$6*(G53+Summary!$L$13)-E53,0))</f>
        <v>91</v>
      </c>
      <c r="T53" s="39" t="n">
        <f aca="false">MAX(0,ROUNDUP(Summary!$L$7*(G53+Summary!$L$13)-E53,0))</f>
        <v>0</v>
      </c>
      <c r="U53" s="39" t="n">
        <f aca="false">MAX(0,ROUNDUP(Summary!$L$8*(G53+Summary!$L$13)-E53,0))</f>
        <v>0</v>
      </c>
    </row>
    <row r="54" customFormat="false" ht="15" hidden="false" customHeight="false" outlineLevel="0" collapsed="false">
      <c r="A54" s="12" t="n">
        <v>49</v>
      </c>
      <c r="B54" s="12" t="s">
        <v>25</v>
      </c>
      <c r="C54" s="12" t="s">
        <v>209</v>
      </c>
      <c r="D54" s="32" t="s">
        <v>210</v>
      </c>
      <c r="E54" s="12" t="n">
        <v>190</v>
      </c>
      <c r="F54" s="12" t="n">
        <v>171</v>
      </c>
      <c r="G54" s="12" t="n">
        <v>361</v>
      </c>
      <c r="H54" s="36" t="n">
        <f aca="false">ROUND(E54/G54*100,0)/100</f>
        <v>0.53</v>
      </c>
      <c r="I54" s="12" t="str">
        <f aca="false">IF(H54&gt;=Summary!$L$6,"Eligible","Shortage")</f>
        <v>Shortage</v>
      </c>
      <c r="J54" s="12" t="str">
        <f aca="false">IF(H54&lt;Summary!$L$8,"YES","No")</f>
        <v>No</v>
      </c>
      <c r="K54" s="12" t="str">
        <f aca="false">IF(H54&gt;=Summary!$L$7,"Counted","Not Counted")</f>
        <v>Not Counted</v>
      </c>
      <c r="L54" s="17" t="n">
        <f aca="false">IF(H54&gt;=Summary!$L$6,20,ROUND(H54/Summary!$L$6*10,1)*2)</f>
        <v>14.2</v>
      </c>
      <c r="M54" s="37" t="n">
        <f aca="false">20-L54</f>
        <v>5.8</v>
      </c>
      <c r="N54" s="12" t="str">
        <f aca="false">IF(H54&gt;=Summary!$L$6,"75%+ (all benefits)",IF(H54&gt;=Summary!$L$7,"55-74%",IF(H54&gt;=Summary!$L$8,"30-54%","Below 30%")))</f>
        <v>30-54%</v>
      </c>
      <c r="O54" s="13" t="n">
        <f aca="false">(E54+Summary!$L$13)/(G54+Summary!$L$13)</f>
        <v>0.639240506329114</v>
      </c>
      <c r="P54" s="17" t="n">
        <f aca="false">IF(O54&gt;=Summary!$L$6,20,ROUND(O54/Summary!$L$6*10,1)*2)</f>
        <v>17</v>
      </c>
      <c r="Q54" s="38" t="n">
        <f aca="false">P54-L54</f>
        <v>2.8</v>
      </c>
      <c r="R54" s="12" t="str">
        <f aca="false">IF(O54&gt;=Summary!$L$6,"75%+ (all benefits)",IF(O54&gt;=Summary!$L$7,"55-74%",IF(O54&gt;=Summary!$L$8,"30-54%","Below 30%")))</f>
        <v>55-74%</v>
      </c>
      <c r="S54" s="39" t="n">
        <f aca="false">MAX(0,ROUNDUP(Summary!$L$6*(G54+Summary!$L$13)-E54,0))</f>
        <v>166</v>
      </c>
      <c r="T54" s="39" t="n">
        <f aca="false">MAX(0,ROUNDUP(Summary!$L$7*(G54+Summary!$L$13)-E54,0))</f>
        <v>71</v>
      </c>
      <c r="U54" s="39" t="n">
        <f aca="false">MAX(0,ROUNDUP(Summary!$L$8*(G54+Summary!$L$13)-E54,0))</f>
        <v>0</v>
      </c>
    </row>
    <row r="55" customFormat="false" ht="15" hidden="false" customHeight="false" outlineLevel="0" collapsed="false">
      <c r="A55" s="40" t="n">
        <v>50</v>
      </c>
      <c r="B55" s="40" t="s">
        <v>25</v>
      </c>
      <c r="C55" s="40" t="s">
        <v>211</v>
      </c>
      <c r="D55" s="41" t="s">
        <v>212</v>
      </c>
      <c r="E55" s="40" t="n">
        <v>249</v>
      </c>
      <c r="F55" s="40" t="n">
        <v>112</v>
      </c>
      <c r="G55" s="40" t="n">
        <v>361</v>
      </c>
      <c r="H55" s="36" t="n">
        <f aca="false">ROUND(E55/G55*100,0)/100</f>
        <v>0.69</v>
      </c>
      <c r="I55" s="12" t="str">
        <f aca="false">IF(H55&gt;=Summary!$L$6,"Eligible","Shortage")</f>
        <v>Shortage</v>
      </c>
      <c r="J55" s="12" t="str">
        <f aca="false">IF(H55&lt;Summary!$L$8,"YES","No")</f>
        <v>No</v>
      </c>
      <c r="K55" s="12" t="str">
        <f aca="false">IF(H55&gt;=Summary!$L$7,"Counted","Not Counted")</f>
        <v>Counted</v>
      </c>
      <c r="L55" s="17" t="n">
        <f aca="false">IF(H55&gt;=Summary!$L$6,20,ROUND(H55/Summary!$L$6*10,1)*2)</f>
        <v>18.4</v>
      </c>
      <c r="M55" s="37" t="n">
        <f aca="false">20-L55</f>
        <v>1.6</v>
      </c>
      <c r="N55" s="12" t="str">
        <f aca="false">IF(H55&gt;=Summary!$L$6,"75%+ (all benefits)",IF(H55&gt;=Summary!$L$7,"55-74%",IF(H55&gt;=Summary!$L$8,"30-54%","Below 30%")))</f>
        <v>55-74%</v>
      </c>
      <c r="O55" s="13" t="n">
        <f aca="false">(E55+Summary!$L$13)/(G55+Summary!$L$13)</f>
        <v>0.763713080168776</v>
      </c>
      <c r="P55" s="17" t="n">
        <f aca="false">IF(O55&gt;=Summary!$L$6,20,ROUND(O55/Summary!$L$6*10,1)*2)</f>
        <v>20</v>
      </c>
      <c r="Q55" s="38" t="n">
        <f aca="false">P55-L55</f>
        <v>1.6</v>
      </c>
      <c r="R55" s="12" t="str">
        <f aca="false">IF(O55&gt;=Summary!$L$6,"75%+ (all benefits)",IF(O55&gt;=Summary!$L$7,"55-74%",IF(O55&gt;=Summary!$L$8,"30-54%","Below 30%")))</f>
        <v>75%+ (all benefits)</v>
      </c>
      <c r="S55" s="39" t="n">
        <f aca="false">MAX(0,ROUNDUP(Summary!$L$6*(G55+Summary!$L$13)-E55,0))</f>
        <v>107</v>
      </c>
      <c r="T55" s="39" t="n">
        <f aca="false">MAX(0,ROUNDUP(Summary!$L$7*(G55+Summary!$L$13)-E55,0))</f>
        <v>12</v>
      </c>
      <c r="U55" s="39" t="n">
        <f aca="false">MAX(0,ROUNDUP(Summary!$L$8*(G55+Summary!$L$13)-E55,0))</f>
        <v>0</v>
      </c>
    </row>
    <row r="56" customFormat="false" ht="15" hidden="false" customHeight="false" outlineLevel="0" collapsed="false">
      <c r="A56" s="12" t="n">
        <v>51</v>
      </c>
      <c r="B56" s="12" t="s">
        <v>25</v>
      </c>
      <c r="C56" s="12" t="s">
        <v>213</v>
      </c>
      <c r="D56" s="32" t="s">
        <v>214</v>
      </c>
      <c r="E56" s="12" t="n">
        <v>262</v>
      </c>
      <c r="F56" s="12" t="n">
        <v>99</v>
      </c>
      <c r="G56" s="12" t="n">
        <v>361</v>
      </c>
      <c r="H56" s="36" t="n">
        <f aca="false">ROUND(E56/G56*100,0)/100</f>
        <v>0.73</v>
      </c>
      <c r="I56" s="12" t="str">
        <f aca="false">IF(H56&gt;=Summary!$L$6,"Eligible","Shortage")</f>
        <v>Shortage</v>
      </c>
      <c r="J56" s="12" t="str">
        <f aca="false">IF(H56&lt;Summary!$L$8,"YES","No")</f>
        <v>No</v>
      </c>
      <c r="K56" s="12" t="str">
        <f aca="false">IF(H56&gt;=Summary!$L$7,"Counted","Not Counted")</f>
        <v>Counted</v>
      </c>
      <c r="L56" s="17" t="n">
        <f aca="false">IF(H56&gt;=Summary!$L$6,20,ROUND(H56/Summary!$L$6*10,1)*2)</f>
        <v>19.4</v>
      </c>
      <c r="M56" s="37" t="n">
        <f aca="false">20-L56</f>
        <v>0.600000000000001</v>
      </c>
      <c r="N56" s="12" t="str">
        <f aca="false">IF(H56&gt;=Summary!$L$6,"75%+ (all benefits)",IF(H56&gt;=Summary!$L$7,"55-74%",IF(H56&gt;=Summary!$L$8,"30-54%","Below 30%")))</f>
        <v>55-74%</v>
      </c>
      <c r="O56" s="13" t="n">
        <f aca="false">(E56+Summary!$L$13)/(G56+Summary!$L$13)</f>
        <v>0.791139240506329</v>
      </c>
      <c r="P56" s="17" t="n">
        <f aca="false">IF(O56&gt;=Summary!$L$6,20,ROUND(O56/Summary!$L$6*10,1)*2)</f>
        <v>20</v>
      </c>
      <c r="Q56" s="38" t="n">
        <f aca="false">P56-L56</f>
        <v>0.600000000000001</v>
      </c>
      <c r="R56" s="12" t="str">
        <f aca="false">IF(O56&gt;=Summary!$L$6,"75%+ (all benefits)",IF(O56&gt;=Summary!$L$7,"55-74%",IF(O56&gt;=Summary!$L$8,"30-54%","Below 30%")))</f>
        <v>75%+ (all benefits)</v>
      </c>
      <c r="S56" s="39" t="n">
        <f aca="false">MAX(0,ROUNDUP(Summary!$L$6*(G56+Summary!$L$13)-E56,0))</f>
        <v>94</v>
      </c>
      <c r="T56" s="39" t="n">
        <f aca="false">MAX(0,ROUNDUP(Summary!$L$7*(G56+Summary!$L$13)-E56,0))</f>
        <v>0</v>
      </c>
      <c r="U56" s="39" t="n">
        <f aca="false">MAX(0,ROUNDUP(Summary!$L$8*(G56+Summary!$L$13)-E56,0))</f>
        <v>0</v>
      </c>
    </row>
    <row r="57" customFormat="false" ht="15" hidden="false" customHeight="false" outlineLevel="0" collapsed="false">
      <c r="A57" s="40" t="n">
        <v>52</v>
      </c>
      <c r="B57" s="40" t="s">
        <v>25</v>
      </c>
      <c r="C57" s="40" t="s">
        <v>51</v>
      </c>
      <c r="D57" s="41" t="s">
        <v>52</v>
      </c>
      <c r="E57" s="40" t="n">
        <v>2</v>
      </c>
      <c r="F57" s="40" t="n">
        <v>359</v>
      </c>
      <c r="G57" s="40" t="n">
        <v>361</v>
      </c>
      <c r="H57" s="36" t="n">
        <f aca="false">ROUND(E57/G57*100,0)/100</f>
        <v>0.01</v>
      </c>
      <c r="I57" s="12" t="str">
        <f aca="false">IF(H57&gt;=Summary!$L$6,"Eligible","Shortage")</f>
        <v>Shortage</v>
      </c>
      <c r="J57" s="12" t="str">
        <f aca="false">IF(H57&lt;Summary!$L$8,"YES","No")</f>
        <v>YES</v>
      </c>
      <c r="K57" s="12" t="str">
        <f aca="false">IF(H57&gt;=Summary!$L$7,"Counted","Not Counted")</f>
        <v>Not Counted</v>
      </c>
      <c r="L57" s="17" t="n">
        <f aca="false">IF(H57&gt;=Summary!$L$6,20,ROUND(H57/Summary!$L$6*10,1)*2)</f>
        <v>0.2</v>
      </c>
      <c r="M57" s="37" t="n">
        <f aca="false">20-L57</f>
        <v>19.8</v>
      </c>
      <c r="N57" s="12" t="str">
        <f aca="false">IF(H57&gt;=Summary!$L$6,"75%+ (all benefits)",IF(H57&gt;=Summary!$L$7,"55-74%",IF(H57&gt;=Summary!$L$8,"30-54%","Below 30%")))</f>
        <v>Below 30%</v>
      </c>
      <c r="O57" s="13" t="n">
        <f aca="false">(E57+Summary!$L$13)/(G57+Summary!$L$13)</f>
        <v>0.242616033755274</v>
      </c>
      <c r="P57" s="17" t="n">
        <f aca="false">IF(O57&gt;=Summary!$L$6,20,ROUND(O57/Summary!$L$6*10,1)*2)</f>
        <v>6.4</v>
      </c>
      <c r="Q57" s="38" t="n">
        <f aca="false">P57-L57</f>
        <v>6.2</v>
      </c>
      <c r="R57" s="12" t="str">
        <f aca="false">IF(O57&gt;=Summary!$L$6,"75%+ (all benefits)",IF(O57&gt;=Summary!$L$7,"55-74%",IF(O57&gt;=Summary!$L$8,"30-54%","Below 30%")))</f>
        <v>Below 30%</v>
      </c>
      <c r="S57" s="39" t="n">
        <f aca="false">MAX(0,ROUNDUP(Summary!$L$6*(G57+Summary!$L$13)-E57,0))</f>
        <v>354</v>
      </c>
      <c r="T57" s="39" t="n">
        <f aca="false">MAX(0,ROUNDUP(Summary!$L$7*(G57+Summary!$L$13)-E57,0))</f>
        <v>259</v>
      </c>
      <c r="U57" s="39" t="n">
        <f aca="false">MAX(0,ROUNDUP(Summary!$L$8*(G57+Summary!$L$13)-E57,0))</f>
        <v>141</v>
      </c>
    </row>
    <row r="58" customFormat="false" ht="15" hidden="false" customHeight="false" outlineLevel="0" collapsed="false">
      <c r="A58" s="12" t="n">
        <v>53</v>
      </c>
      <c r="B58" s="12" t="s">
        <v>25</v>
      </c>
      <c r="C58" s="12" t="s">
        <v>215</v>
      </c>
      <c r="D58" s="32" t="s">
        <v>216</v>
      </c>
      <c r="E58" s="12" t="n">
        <v>245</v>
      </c>
      <c r="F58" s="12" t="n">
        <v>116</v>
      </c>
      <c r="G58" s="12" t="n">
        <v>361</v>
      </c>
      <c r="H58" s="36" t="n">
        <f aca="false">ROUND(E58/G58*100,0)/100</f>
        <v>0.68</v>
      </c>
      <c r="I58" s="12" t="str">
        <f aca="false">IF(H58&gt;=Summary!$L$6,"Eligible","Shortage")</f>
        <v>Shortage</v>
      </c>
      <c r="J58" s="12" t="str">
        <f aca="false">IF(H58&lt;Summary!$L$8,"YES","No")</f>
        <v>No</v>
      </c>
      <c r="K58" s="12" t="str">
        <f aca="false">IF(H58&gt;=Summary!$L$7,"Counted","Not Counted")</f>
        <v>Counted</v>
      </c>
      <c r="L58" s="17" t="n">
        <f aca="false">IF(H58&gt;=Summary!$L$6,20,ROUND(H58/Summary!$L$6*10,1)*2)</f>
        <v>18.2</v>
      </c>
      <c r="M58" s="37" t="n">
        <f aca="false">20-L58</f>
        <v>1.8</v>
      </c>
      <c r="N58" s="12" t="str">
        <f aca="false">IF(H58&gt;=Summary!$L$6,"75%+ (all benefits)",IF(H58&gt;=Summary!$L$7,"55-74%",IF(H58&gt;=Summary!$L$8,"30-54%","Below 30%")))</f>
        <v>55-74%</v>
      </c>
      <c r="O58" s="13" t="n">
        <f aca="false">(E58+Summary!$L$13)/(G58+Summary!$L$13)</f>
        <v>0.755274261603376</v>
      </c>
      <c r="P58" s="17" t="n">
        <f aca="false">IF(O58&gt;=Summary!$L$6,20,ROUND(O58/Summary!$L$6*10,1)*2)</f>
        <v>20</v>
      </c>
      <c r="Q58" s="38" t="n">
        <f aca="false">P58-L58</f>
        <v>1.8</v>
      </c>
      <c r="R58" s="12" t="str">
        <f aca="false">IF(O58&gt;=Summary!$L$6,"75%+ (all benefits)",IF(O58&gt;=Summary!$L$7,"55-74%",IF(O58&gt;=Summary!$L$8,"30-54%","Below 30%")))</f>
        <v>75%+ (all benefits)</v>
      </c>
      <c r="S58" s="39" t="n">
        <f aca="false">MAX(0,ROUNDUP(Summary!$L$6*(G58+Summary!$L$13)-E58,0))</f>
        <v>111</v>
      </c>
      <c r="T58" s="39" t="n">
        <f aca="false">MAX(0,ROUNDUP(Summary!$L$7*(G58+Summary!$L$13)-E58,0))</f>
        <v>16</v>
      </c>
      <c r="U58" s="39" t="n">
        <f aca="false">MAX(0,ROUNDUP(Summary!$L$8*(G58+Summary!$L$13)-E58,0))</f>
        <v>0</v>
      </c>
    </row>
    <row r="59" customFormat="false" ht="15" hidden="false" customHeight="false" outlineLevel="0" collapsed="false">
      <c r="A59" s="40" t="n">
        <v>54</v>
      </c>
      <c r="B59" s="40" t="s">
        <v>25</v>
      </c>
      <c r="C59" s="40" t="s">
        <v>217</v>
      </c>
      <c r="D59" s="41" t="s">
        <v>218</v>
      </c>
      <c r="E59" s="40" t="n">
        <v>203</v>
      </c>
      <c r="F59" s="40" t="n">
        <v>158</v>
      </c>
      <c r="G59" s="40" t="n">
        <v>361</v>
      </c>
      <c r="H59" s="36" t="n">
        <f aca="false">ROUND(E59/G59*100,0)/100</f>
        <v>0.56</v>
      </c>
      <c r="I59" s="12" t="str">
        <f aca="false">IF(H59&gt;=Summary!$L$6,"Eligible","Shortage")</f>
        <v>Shortage</v>
      </c>
      <c r="J59" s="12" t="str">
        <f aca="false">IF(H59&lt;Summary!$L$8,"YES","No")</f>
        <v>No</v>
      </c>
      <c r="K59" s="12" t="str">
        <f aca="false">IF(H59&gt;=Summary!$L$7,"Counted","Not Counted")</f>
        <v>Counted</v>
      </c>
      <c r="L59" s="17" t="n">
        <f aca="false">IF(H59&gt;=Summary!$L$6,20,ROUND(H59/Summary!$L$6*10,1)*2)</f>
        <v>15</v>
      </c>
      <c r="M59" s="37" t="n">
        <f aca="false">20-L59</f>
        <v>5</v>
      </c>
      <c r="N59" s="12" t="str">
        <f aca="false">IF(H59&gt;=Summary!$L$6,"75%+ (all benefits)",IF(H59&gt;=Summary!$L$7,"55-74%",IF(H59&gt;=Summary!$L$8,"30-54%","Below 30%")))</f>
        <v>55-74%</v>
      </c>
      <c r="O59" s="13" t="n">
        <f aca="false">(E59+Summary!$L$13)/(G59+Summary!$L$13)</f>
        <v>0.666666666666667</v>
      </c>
      <c r="P59" s="17" t="n">
        <f aca="false">IF(O59&gt;=Summary!$L$6,20,ROUND(O59/Summary!$L$6*10,1)*2)</f>
        <v>17.8</v>
      </c>
      <c r="Q59" s="38" t="n">
        <f aca="false">P59-L59</f>
        <v>2.8</v>
      </c>
      <c r="R59" s="12" t="str">
        <f aca="false">IF(O59&gt;=Summary!$L$6,"75%+ (all benefits)",IF(O59&gt;=Summary!$L$7,"55-74%",IF(O59&gt;=Summary!$L$8,"30-54%","Below 30%")))</f>
        <v>55-74%</v>
      </c>
      <c r="S59" s="39" t="n">
        <f aca="false">MAX(0,ROUNDUP(Summary!$L$6*(G59+Summary!$L$13)-E59,0))</f>
        <v>153</v>
      </c>
      <c r="T59" s="39" t="n">
        <f aca="false">MAX(0,ROUNDUP(Summary!$L$7*(G59+Summary!$L$13)-E59,0))</f>
        <v>58</v>
      </c>
      <c r="U59" s="39" t="n">
        <f aca="false">MAX(0,ROUNDUP(Summary!$L$8*(G59+Summary!$L$13)-E59,0))</f>
        <v>0</v>
      </c>
    </row>
    <row r="60" customFormat="false" ht="15" hidden="false" customHeight="false" outlineLevel="0" collapsed="false">
      <c r="A60" s="12" t="n">
        <v>55</v>
      </c>
      <c r="B60" s="12" t="s">
        <v>25</v>
      </c>
      <c r="C60" s="12" t="s">
        <v>219</v>
      </c>
      <c r="D60" s="32" t="s">
        <v>220</v>
      </c>
      <c r="E60" s="12" t="n">
        <v>269</v>
      </c>
      <c r="F60" s="12" t="n">
        <v>92</v>
      </c>
      <c r="G60" s="12" t="n">
        <v>361</v>
      </c>
      <c r="H60" s="36" t="n">
        <f aca="false">ROUND(E60/G60*100,0)/100</f>
        <v>0.75</v>
      </c>
      <c r="I60" s="12" t="str">
        <f aca="false">IF(H60&gt;=Summary!$L$6,"Eligible","Shortage")</f>
        <v>Eligible</v>
      </c>
      <c r="J60" s="12" t="str">
        <f aca="false">IF(H60&lt;Summary!$L$8,"YES","No")</f>
        <v>No</v>
      </c>
      <c r="K60" s="12" t="str">
        <f aca="false">IF(H60&gt;=Summary!$L$7,"Counted","Not Counted")</f>
        <v>Counted</v>
      </c>
      <c r="L60" s="17" t="n">
        <f aca="false">IF(H60&gt;=Summary!$L$6,20,ROUND(H60/Summary!$L$6*10,1)*2)</f>
        <v>20</v>
      </c>
      <c r="M60" s="37" t="n">
        <f aca="false">20-L60</f>
        <v>0</v>
      </c>
      <c r="N60" s="12" t="str">
        <f aca="false">IF(H60&gt;=Summary!$L$6,"75%+ (all benefits)",IF(H60&gt;=Summary!$L$7,"55-74%",IF(H60&gt;=Summary!$L$8,"30-54%","Below 30%")))</f>
        <v>75%+ (all benefits)</v>
      </c>
      <c r="O60" s="13" t="n">
        <f aca="false">(E60+Summary!$L$13)/(G60+Summary!$L$13)</f>
        <v>0.805907172995781</v>
      </c>
      <c r="P60" s="17" t="n">
        <f aca="false">IF(O60&gt;=Summary!$L$6,20,ROUND(O60/Summary!$L$6*10,1)*2)</f>
        <v>20</v>
      </c>
      <c r="Q60" s="38" t="n">
        <f aca="false">P60-L60</f>
        <v>0</v>
      </c>
      <c r="R60" s="12" t="str">
        <f aca="false">IF(O60&gt;=Summary!$L$6,"75%+ (all benefits)",IF(O60&gt;=Summary!$L$7,"55-74%",IF(O60&gt;=Summary!$L$8,"30-54%","Below 30%")))</f>
        <v>75%+ (all benefits)</v>
      </c>
      <c r="S60" s="39" t="n">
        <f aca="false">MAX(0,ROUNDUP(Summary!$L$6*(G60+Summary!$L$13)-E60,0))</f>
        <v>87</v>
      </c>
      <c r="T60" s="39" t="n">
        <f aca="false">MAX(0,ROUNDUP(Summary!$L$7*(G60+Summary!$L$13)-E60,0))</f>
        <v>0</v>
      </c>
      <c r="U60" s="39" t="n">
        <f aca="false">MAX(0,ROUNDUP(Summary!$L$8*(G60+Summary!$L$13)-E60,0))</f>
        <v>0</v>
      </c>
    </row>
    <row r="61" customFormat="false" ht="15" hidden="false" customHeight="false" outlineLevel="0" collapsed="false">
      <c r="A61" s="40" t="n">
        <v>56</v>
      </c>
      <c r="B61" s="40" t="s">
        <v>25</v>
      </c>
      <c r="C61" s="40" t="s">
        <v>221</v>
      </c>
      <c r="D61" s="41" t="s">
        <v>222</v>
      </c>
      <c r="E61" s="40" t="n">
        <v>277</v>
      </c>
      <c r="F61" s="40" t="n">
        <v>84</v>
      </c>
      <c r="G61" s="40" t="n">
        <v>361</v>
      </c>
      <c r="H61" s="36" t="n">
        <f aca="false">ROUND(E61/G61*100,0)/100</f>
        <v>0.77</v>
      </c>
      <c r="I61" s="12" t="str">
        <f aca="false">IF(H61&gt;=Summary!$L$6,"Eligible","Shortage")</f>
        <v>Eligible</v>
      </c>
      <c r="J61" s="12" t="str">
        <f aca="false">IF(H61&lt;Summary!$L$8,"YES","No")</f>
        <v>No</v>
      </c>
      <c r="K61" s="12" t="str">
        <f aca="false">IF(H61&gt;=Summary!$L$7,"Counted","Not Counted")</f>
        <v>Counted</v>
      </c>
      <c r="L61" s="17" t="n">
        <f aca="false">IF(H61&gt;=Summary!$L$6,20,ROUND(H61/Summary!$L$6*10,1)*2)</f>
        <v>20</v>
      </c>
      <c r="M61" s="37" t="n">
        <f aca="false">20-L61</f>
        <v>0</v>
      </c>
      <c r="N61" s="12" t="str">
        <f aca="false">IF(H61&gt;=Summary!$L$6,"75%+ (all benefits)",IF(H61&gt;=Summary!$L$7,"55-74%",IF(H61&gt;=Summary!$L$8,"30-54%","Below 30%")))</f>
        <v>75%+ (all benefits)</v>
      </c>
      <c r="O61" s="13" t="n">
        <f aca="false">(E61+Summary!$L$13)/(G61+Summary!$L$13)</f>
        <v>0.822784810126582</v>
      </c>
      <c r="P61" s="17" t="n">
        <f aca="false">IF(O61&gt;=Summary!$L$6,20,ROUND(O61/Summary!$L$6*10,1)*2)</f>
        <v>20</v>
      </c>
      <c r="Q61" s="38" t="n">
        <f aca="false">P61-L61</f>
        <v>0</v>
      </c>
      <c r="R61" s="12" t="str">
        <f aca="false">IF(O61&gt;=Summary!$L$6,"75%+ (all benefits)",IF(O61&gt;=Summary!$L$7,"55-74%",IF(O61&gt;=Summary!$L$8,"30-54%","Below 30%")))</f>
        <v>75%+ (all benefits)</v>
      </c>
      <c r="S61" s="39" t="n">
        <f aca="false">MAX(0,ROUNDUP(Summary!$L$6*(G61+Summary!$L$13)-E61,0))</f>
        <v>79</v>
      </c>
      <c r="T61" s="39" t="n">
        <f aca="false">MAX(0,ROUNDUP(Summary!$L$7*(G61+Summary!$L$13)-E61,0))</f>
        <v>0</v>
      </c>
      <c r="U61" s="39" t="n">
        <f aca="false">MAX(0,ROUNDUP(Summary!$L$8*(G61+Summary!$L$13)-E61,0))</f>
        <v>0</v>
      </c>
    </row>
    <row r="62" customFormat="false" ht="15" hidden="false" customHeight="false" outlineLevel="0" collapsed="false">
      <c r="A62" s="12" t="n">
        <v>57</v>
      </c>
      <c r="B62" s="12" t="s">
        <v>25</v>
      </c>
      <c r="C62" s="12" t="s">
        <v>223</v>
      </c>
      <c r="D62" s="32" t="s">
        <v>224</v>
      </c>
      <c r="E62" s="12" t="n">
        <v>269</v>
      </c>
      <c r="F62" s="12" t="n">
        <v>92</v>
      </c>
      <c r="G62" s="12" t="n">
        <v>361</v>
      </c>
      <c r="H62" s="36" t="n">
        <f aca="false">ROUND(E62/G62*100,0)/100</f>
        <v>0.75</v>
      </c>
      <c r="I62" s="12" t="str">
        <f aca="false">IF(H62&gt;=Summary!$L$6,"Eligible","Shortage")</f>
        <v>Eligible</v>
      </c>
      <c r="J62" s="12" t="str">
        <f aca="false">IF(H62&lt;Summary!$L$8,"YES","No")</f>
        <v>No</v>
      </c>
      <c r="K62" s="12" t="str">
        <f aca="false">IF(H62&gt;=Summary!$L$7,"Counted","Not Counted")</f>
        <v>Counted</v>
      </c>
      <c r="L62" s="17" t="n">
        <f aca="false">IF(H62&gt;=Summary!$L$6,20,ROUND(H62/Summary!$L$6*10,1)*2)</f>
        <v>20</v>
      </c>
      <c r="M62" s="37" t="n">
        <f aca="false">20-L62</f>
        <v>0</v>
      </c>
      <c r="N62" s="12" t="str">
        <f aca="false">IF(H62&gt;=Summary!$L$6,"75%+ (all benefits)",IF(H62&gt;=Summary!$L$7,"55-74%",IF(H62&gt;=Summary!$L$8,"30-54%","Below 30%")))</f>
        <v>75%+ (all benefits)</v>
      </c>
      <c r="O62" s="13" t="n">
        <f aca="false">(E62+Summary!$L$13)/(G62+Summary!$L$13)</f>
        <v>0.805907172995781</v>
      </c>
      <c r="P62" s="17" t="n">
        <f aca="false">IF(O62&gt;=Summary!$L$6,20,ROUND(O62/Summary!$L$6*10,1)*2)</f>
        <v>20</v>
      </c>
      <c r="Q62" s="38" t="n">
        <f aca="false">P62-L62</f>
        <v>0</v>
      </c>
      <c r="R62" s="12" t="str">
        <f aca="false">IF(O62&gt;=Summary!$L$6,"75%+ (all benefits)",IF(O62&gt;=Summary!$L$7,"55-74%",IF(O62&gt;=Summary!$L$8,"30-54%","Below 30%")))</f>
        <v>75%+ (all benefits)</v>
      </c>
      <c r="S62" s="39" t="n">
        <f aca="false">MAX(0,ROUNDUP(Summary!$L$6*(G62+Summary!$L$13)-E62,0))</f>
        <v>87</v>
      </c>
      <c r="T62" s="39" t="n">
        <f aca="false">MAX(0,ROUNDUP(Summary!$L$7*(G62+Summary!$L$13)-E62,0))</f>
        <v>0</v>
      </c>
      <c r="U62" s="39" t="n">
        <f aca="false">MAX(0,ROUNDUP(Summary!$L$8*(G62+Summary!$L$13)-E62,0))</f>
        <v>0</v>
      </c>
    </row>
    <row r="63" customFormat="false" ht="15" hidden="false" customHeight="false" outlineLevel="0" collapsed="false">
      <c r="A63" s="40" t="n">
        <v>58</v>
      </c>
      <c r="B63" s="40" t="s">
        <v>25</v>
      </c>
      <c r="C63" s="40" t="s">
        <v>67</v>
      </c>
      <c r="D63" s="41" t="s">
        <v>68</v>
      </c>
      <c r="E63" s="40" t="n">
        <v>96</v>
      </c>
      <c r="F63" s="40" t="n">
        <v>265</v>
      </c>
      <c r="G63" s="40" t="n">
        <v>361</v>
      </c>
      <c r="H63" s="36" t="n">
        <f aca="false">ROUND(E63/G63*100,0)/100</f>
        <v>0.27</v>
      </c>
      <c r="I63" s="12" t="str">
        <f aca="false">IF(H63&gt;=Summary!$L$6,"Eligible","Shortage")</f>
        <v>Shortage</v>
      </c>
      <c r="J63" s="12" t="str">
        <f aca="false">IF(H63&lt;Summary!$L$8,"YES","No")</f>
        <v>YES</v>
      </c>
      <c r="K63" s="12" t="str">
        <f aca="false">IF(H63&gt;=Summary!$L$7,"Counted","Not Counted")</f>
        <v>Not Counted</v>
      </c>
      <c r="L63" s="17" t="n">
        <f aca="false">IF(H63&gt;=Summary!$L$6,20,ROUND(H63/Summary!$L$6*10,1)*2)</f>
        <v>7.2</v>
      </c>
      <c r="M63" s="37" t="n">
        <f aca="false">20-L63</f>
        <v>12.8</v>
      </c>
      <c r="N63" s="12" t="str">
        <f aca="false">IF(H63&gt;=Summary!$L$6,"75%+ (all benefits)",IF(H63&gt;=Summary!$L$7,"55-74%",IF(H63&gt;=Summary!$L$8,"30-54%","Below 30%")))</f>
        <v>Below 30%</v>
      </c>
      <c r="O63" s="13" t="n">
        <f aca="false">(E63+Summary!$L$13)/(G63+Summary!$L$13)</f>
        <v>0.440928270042194</v>
      </c>
      <c r="P63" s="17" t="n">
        <f aca="false">IF(O63&gt;=Summary!$L$6,20,ROUND(O63/Summary!$L$6*10,1)*2)</f>
        <v>11.8</v>
      </c>
      <c r="Q63" s="38" t="n">
        <f aca="false">P63-L63</f>
        <v>4.6</v>
      </c>
      <c r="R63" s="12" t="str">
        <f aca="false">IF(O63&gt;=Summary!$L$6,"75%+ (all benefits)",IF(O63&gt;=Summary!$L$7,"55-74%",IF(O63&gt;=Summary!$L$8,"30-54%","Below 30%")))</f>
        <v>30-54%</v>
      </c>
      <c r="S63" s="39" t="n">
        <f aca="false">MAX(0,ROUNDUP(Summary!$L$6*(G63+Summary!$L$13)-E63,0))</f>
        <v>260</v>
      </c>
      <c r="T63" s="39" t="n">
        <f aca="false">MAX(0,ROUNDUP(Summary!$L$7*(G63+Summary!$L$13)-E63,0))</f>
        <v>165</v>
      </c>
      <c r="U63" s="39" t="n">
        <f aca="false">MAX(0,ROUNDUP(Summary!$L$8*(G63+Summary!$L$13)-E63,0))</f>
        <v>47</v>
      </c>
    </row>
    <row r="64" customFormat="false" ht="15" hidden="false" customHeight="false" outlineLevel="0" collapsed="false">
      <c r="A64" s="12" t="n">
        <v>59</v>
      </c>
      <c r="B64" s="12" t="s">
        <v>25</v>
      </c>
      <c r="C64" s="12" t="s">
        <v>225</v>
      </c>
      <c r="D64" s="32" t="s">
        <v>226</v>
      </c>
      <c r="E64" s="12" t="n">
        <v>206</v>
      </c>
      <c r="F64" s="12" t="n">
        <v>155</v>
      </c>
      <c r="G64" s="12" t="n">
        <v>361</v>
      </c>
      <c r="H64" s="36" t="n">
        <f aca="false">ROUND(E64/G64*100,0)/100</f>
        <v>0.57</v>
      </c>
      <c r="I64" s="12" t="str">
        <f aca="false">IF(H64&gt;=Summary!$L$6,"Eligible","Shortage")</f>
        <v>Shortage</v>
      </c>
      <c r="J64" s="12" t="str">
        <f aca="false">IF(H64&lt;Summary!$L$8,"YES","No")</f>
        <v>No</v>
      </c>
      <c r="K64" s="12" t="str">
        <f aca="false">IF(H64&gt;=Summary!$L$7,"Counted","Not Counted")</f>
        <v>Counted</v>
      </c>
      <c r="L64" s="17" t="n">
        <f aca="false">IF(H64&gt;=Summary!$L$6,20,ROUND(H64/Summary!$L$6*10,1)*2)</f>
        <v>15.2</v>
      </c>
      <c r="M64" s="37" t="n">
        <f aca="false">20-L64</f>
        <v>4.8</v>
      </c>
      <c r="N64" s="12" t="str">
        <f aca="false">IF(H64&gt;=Summary!$L$6,"75%+ (all benefits)",IF(H64&gt;=Summary!$L$7,"55-74%",IF(H64&gt;=Summary!$L$8,"30-54%","Below 30%")))</f>
        <v>55-74%</v>
      </c>
      <c r="O64" s="13" t="n">
        <f aca="false">(E64+Summary!$L$13)/(G64+Summary!$L$13)</f>
        <v>0.672995780590717</v>
      </c>
      <c r="P64" s="17" t="n">
        <f aca="false">IF(O64&gt;=Summary!$L$6,20,ROUND(O64/Summary!$L$6*10,1)*2)</f>
        <v>18</v>
      </c>
      <c r="Q64" s="38" t="n">
        <f aca="false">P64-L64</f>
        <v>2.8</v>
      </c>
      <c r="R64" s="12" t="str">
        <f aca="false">IF(O64&gt;=Summary!$L$6,"75%+ (all benefits)",IF(O64&gt;=Summary!$L$7,"55-74%",IF(O64&gt;=Summary!$L$8,"30-54%","Below 30%")))</f>
        <v>55-74%</v>
      </c>
      <c r="S64" s="39" t="n">
        <f aca="false">MAX(0,ROUNDUP(Summary!$L$6*(G64+Summary!$L$13)-E64,0))</f>
        <v>150</v>
      </c>
      <c r="T64" s="39" t="n">
        <f aca="false">MAX(0,ROUNDUP(Summary!$L$7*(G64+Summary!$L$13)-E64,0))</f>
        <v>55</v>
      </c>
      <c r="U64" s="39" t="n">
        <f aca="false">MAX(0,ROUNDUP(Summary!$L$8*(G64+Summary!$L$13)-E64,0))</f>
        <v>0</v>
      </c>
    </row>
    <row r="65" customFormat="false" ht="15" hidden="false" customHeight="false" outlineLevel="0" collapsed="false">
      <c r="A65" s="40" t="n">
        <v>60</v>
      </c>
      <c r="B65" s="40" t="s">
        <v>25</v>
      </c>
      <c r="C65" s="40" t="s">
        <v>53</v>
      </c>
      <c r="D65" s="41" t="s">
        <v>54</v>
      </c>
      <c r="E65" s="40" t="n">
        <v>4</v>
      </c>
      <c r="F65" s="40" t="n">
        <v>357</v>
      </c>
      <c r="G65" s="40" t="n">
        <v>361</v>
      </c>
      <c r="H65" s="36" t="n">
        <f aca="false">ROUND(E65/G65*100,0)/100</f>
        <v>0.01</v>
      </c>
      <c r="I65" s="12" t="str">
        <f aca="false">IF(H65&gt;=Summary!$L$6,"Eligible","Shortage")</f>
        <v>Shortage</v>
      </c>
      <c r="J65" s="12" t="str">
        <f aca="false">IF(H65&lt;Summary!$L$8,"YES","No")</f>
        <v>YES</v>
      </c>
      <c r="K65" s="12" t="str">
        <f aca="false">IF(H65&gt;=Summary!$L$7,"Counted","Not Counted")</f>
        <v>Not Counted</v>
      </c>
      <c r="L65" s="17" t="n">
        <f aca="false">IF(H65&gt;=Summary!$L$6,20,ROUND(H65/Summary!$L$6*10,1)*2)</f>
        <v>0.2</v>
      </c>
      <c r="M65" s="37" t="n">
        <f aca="false">20-L65</f>
        <v>19.8</v>
      </c>
      <c r="N65" s="12" t="str">
        <f aca="false">IF(H65&gt;=Summary!$L$6,"75%+ (all benefits)",IF(H65&gt;=Summary!$L$7,"55-74%",IF(H65&gt;=Summary!$L$8,"30-54%","Below 30%")))</f>
        <v>Below 30%</v>
      </c>
      <c r="O65" s="13" t="n">
        <f aca="false">(E65+Summary!$L$13)/(G65+Summary!$L$13)</f>
        <v>0.246835443037975</v>
      </c>
      <c r="P65" s="17" t="n">
        <f aca="false">IF(O65&gt;=Summary!$L$6,20,ROUND(O65/Summary!$L$6*10,1)*2)</f>
        <v>6.6</v>
      </c>
      <c r="Q65" s="38" t="n">
        <f aca="false">P65-L65</f>
        <v>6.4</v>
      </c>
      <c r="R65" s="12" t="str">
        <f aca="false">IF(O65&gt;=Summary!$L$6,"75%+ (all benefits)",IF(O65&gt;=Summary!$L$7,"55-74%",IF(O65&gt;=Summary!$L$8,"30-54%","Below 30%")))</f>
        <v>Below 30%</v>
      </c>
      <c r="S65" s="39" t="n">
        <f aca="false">MAX(0,ROUNDUP(Summary!$L$6*(G65+Summary!$L$13)-E65,0))</f>
        <v>352</v>
      </c>
      <c r="T65" s="39" t="n">
        <f aca="false">MAX(0,ROUNDUP(Summary!$L$7*(G65+Summary!$L$13)-E65,0))</f>
        <v>257</v>
      </c>
      <c r="U65" s="39" t="n">
        <f aca="false">MAX(0,ROUNDUP(Summary!$L$8*(G65+Summary!$L$13)-E65,0))</f>
        <v>139</v>
      </c>
    </row>
    <row r="66" customFormat="false" ht="15" hidden="false" customHeight="false" outlineLevel="0" collapsed="false">
      <c r="A66" s="12" t="n">
        <v>61</v>
      </c>
      <c r="B66" s="12" t="s">
        <v>25</v>
      </c>
      <c r="C66" s="12" t="s">
        <v>227</v>
      </c>
      <c r="D66" s="32" t="s">
        <v>228</v>
      </c>
      <c r="E66" s="12" t="n">
        <v>111</v>
      </c>
      <c r="F66" s="12" t="n">
        <v>250</v>
      </c>
      <c r="G66" s="12" t="n">
        <v>361</v>
      </c>
      <c r="H66" s="36" t="n">
        <f aca="false">ROUND(E66/G66*100,0)/100</f>
        <v>0.31</v>
      </c>
      <c r="I66" s="12" t="str">
        <f aca="false">IF(H66&gt;=Summary!$L$6,"Eligible","Shortage")</f>
        <v>Shortage</v>
      </c>
      <c r="J66" s="12" t="str">
        <f aca="false">IF(H66&lt;Summary!$L$8,"YES","No")</f>
        <v>No</v>
      </c>
      <c r="K66" s="12" t="str">
        <f aca="false">IF(H66&gt;=Summary!$L$7,"Counted","Not Counted")</f>
        <v>Not Counted</v>
      </c>
      <c r="L66" s="17" t="n">
        <f aca="false">IF(H66&gt;=Summary!$L$6,20,ROUND(H66/Summary!$L$6*10,1)*2)</f>
        <v>8.2</v>
      </c>
      <c r="M66" s="37" t="n">
        <f aca="false">20-L66</f>
        <v>11.8</v>
      </c>
      <c r="N66" s="12" t="str">
        <f aca="false">IF(H66&gt;=Summary!$L$6,"75%+ (all benefits)",IF(H66&gt;=Summary!$L$7,"55-74%",IF(H66&gt;=Summary!$L$8,"30-54%","Below 30%")))</f>
        <v>30-54%</v>
      </c>
      <c r="O66" s="13" t="n">
        <f aca="false">(E66+Summary!$L$13)/(G66+Summary!$L$13)</f>
        <v>0.472573839662447</v>
      </c>
      <c r="P66" s="17" t="n">
        <f aca="false">IF(O66&gt;=Summary!$L$6,20,ROUND(O66/Summary!$L$6*10,1)*2)</f>
        <v>12.6</v>
      </c>
      <c r="Q66" s="38" t="n">
        <f aca="false">P66-L66</f>
        <v>4.4</v>
      </c>
      <c r="R66" s="12" t="str">
        <f aca="false">IF(O66&gt;=Summary!$L$6,"75%+ (all benefits)",IF(O66&gt;=Summary!$L$7,"55-74%",IF(O66&gt;=Summary!$L$8,"30-54%","Below 30%")))</f>
        <v>30-54%</v>
      </c>
      <c r="S66" s="39" t="n">
        <f aca="false">MAX(0,ROUNDUP(Summary!$L$6*(G66+Summary!$L$13)-E66,0))</f>
        <v>245</v>
      </c>
      <c r="T66" s="39" t="n">
        <f aca="false">MAX(0,ROUNDUP(Summary!$L$7*(G66+Summary!$L$13)-E66,0))</f>
        <v>150</v>
      </c>
      <c r="U66" s="39" t="n">
        <f aca="false">MAX(0,ROUNDUP(Summary!$L$8*(G66+Summary!$L$13)-E66,0))</f>
        <v>32</v>
      </c>
    </row>
    <row r="67" customFormat="false" ht="15" hidden="false" customHeight="false" outlineLevel="0" collapsed="false">
      <c r="A67" s="40" t="n">
        <v>62</v>
      </c>
      <c r="B67" s="40" t="s">
        <v>26</v>
      </c>
      <c r="C67" s="40" t="s">
        <v>229</v>
      </c>
      <c r="D67" s="41" t="s">
        <v>230</v>
      </c>
      <c r="E67" s="40" t="n">
        <v>257</v>
      </c>
      <c r="F67" s="40" t="n">
        <v>104</v>
      </c>
      <c r="G67" s="40" t="n">
        <v>361</v>
      </c>
      <c r="H67" s="36" t="n">
        <f aca="false">ROUND(E67/G67*100,0)/100</f>
        <v>0.71</v>
      </c>
      <c r="I67" s="12" t="str">
        <f aca="false">IF(H67&gt;=Summary!$L$6,"Eligible","Shortage")</f>
        <v>Shortage</v>
      </c>
      <c r="J67" s="12" t="str">
        <f aca="false">IF(H67&lt;Summary!$L$8,"YES","No")</f>
        <v>No</v>
      </c>
      <c r="K67" s="12" t="str">
        <f aca="false">IF(H67&gt;=Summary!$L$7,"Counted","Not Counted")</f>
        <v>Counted</v>
      </c>
      <c r="L67" s="17" t="n">
        <f aca="false">IF(H67&gt;=Summary!$L$6,20,ROUND(H67/Summary!$L$6*10,1)*2)</f>
        <v>19</v>
      </c>
      <c r="M67" s="37" t="n">
        <f aca="false">20-L67</f>
        <v>1</v>
      </c>
      <c r="N67" s="12" t="str">
        <f aca="false">IF(H67&gt;=Summary!$L$6,"75%+ (all benefits)",IF(H67&gt;=Summary!$L$7,"55-74%",IF(H67&gt;=Summary!$L$8,"30-54%","Below 30%")))</f>
        <v>55-74%</v>
      </c>
      <c r="O67" s="13" t="n">
        <f aca="false">(E67+Summary!$L$13)/(G67+Summary!$L$13)</f>
        <v>0.780590717299578</v>
      </c>
      <c r="P67" s="17" t="n">
        <f aca="false">IF(O67&gt;=Summary!$L$6,20,ROUND(O67/Summary!$L$6*10,1)*2)</f>
        <v>20</v>
      </c>
      <c r="Q67" s="38" t="n">
        <f aca="false">P67-L67</f>
        <v>1</v>
      </c>
      <c r="R67" s="12" t="str">
        <f aca="false">IF(O67&gt;=Summary!$L$6,"75%+ (all benefits)",IF(O67&gt;=Summary!$L$7,"55-74%",IF(O67&gt;=Summary!$L$8,"30-54%","Below 30%")))</f>
        <v>75%+ (all benefits)</v>
      </c>
      <c r="S67" s="39" t="n">
        <f aca="false">MAX(0,ROUNDUP(Summary!$L$6*(G67+Summary!$L$13)-E67,0))</f>
        <v>99</v>
      </c>
      <c r="T67" s="39" t="n">
        <f aca="false">MAX(0,ROUNDUP(Summary!$L$7*(G67+Summary!$L$13)-E67,0))</f>
        <v>4</v>
      </c>
      <c r="U67" s="39" t="n">
        <f aca="false">MAX(0,ROUNDUP(Summary!$L$8*(G67+Summary!$L$13)-E67,0))</f>
        <v>0</v>
      </c>
    </row>
    <row r="68" customFormat="false" ht="15" hidden="false" customHeight="false" outlineLevel="0" collapsed="false">
      <c r="A68" s="12" t="n">
        <v>63</v>
      </c>
      <c r="B68" s="12" t="s">
        <v>26</v>
      </c>
      <c r="C68" s="12" t="s">
        <v>231</v>
      </c>
      <c r="D68" s="32" t="s">
        <v>232</v>
      </c>
      <c r="E68" s="12" t="n">
        <v>146</v>
      </c>
      <c r="F68" s="12" t="n">
        <v>215</v>
      </c>
      <c r="G68" s="12" t="n">
        <v>361</v>
      </c>
      <c r="H68" s="36" t="n">
        <f aca="false">ROUND(E68/G68*100,0)/100</f>
        <v>0.4</v>
      </c>
      <c r="I68" s="12" t="str">
        <f aca="false">IF(H68&gt;=Summary!$L$6,"Eligible","Shortage")</f>
        <v>Shortage</v>
      </c>
      <c r="J68" s="12" t="str">
        <f aca="false">IF(H68&lt;Summary!$L$8,"YES","No")</f>
        <v>No</v>
      </c>
      <c r="K68" s="12" t="str">
        <f aca="false">IF(H68&gt;=Summary!$L$7,"Counted","Not Counted")</f>
        <v>Not Counted</v>
      </c>
      <c r="L68" s="17" t="n">
        <f aca="false">IF(H68&gt;=Summary!$L$6,20,ROUND(H68/Summary!$L$6*10,1)*2)</f>
        <v>10.6</v>
      </c>
      <c r="M68" s="37" t="n">
        <f aca="false">20-L68</f>
        <v>9.4</v>
      </c>
      <c r="N68" s="12" t="str">
        <f aca="false">IF(H68&gt;=Summary!$L$6,"75%+ (all benefits)",IF(H68&gt;=Summary!$L$7,"55-74%",IF(H68&gt;=Summary!$L$8,"30-54%","Below 30%")))</f>
        <v>30-54%</v>
      </c>
      <c r="O68" s="13" t="n">
        <f aca="false">(E68+Summary!$L$13)/(G68+Summary!$L$13)</f>
        <v>0.546413502109705</v>
      </c>
      <c r="P68" s="17" t="n">
        <f aca="false">IF(O68&gt;=Summary!$L$6,20,ROUND(O68/Summary!$L$6*10,1)*2)</f>
        <v>14.6</v>
      </c>
      <c r="Q68" s="38" t="n">
        <f aca="false">P68-L68</f>
        <v>4</v>
      </c>
      <c r="R68" s="12" t="str">
        <f aca="false">IF(O68&gt;=Summary!$L$6,"75%+ (all benefits)",IF(O68&gt;=Summary!$L$7,"55-74%",IF(O68&gt;=Summary!$L$8,"30-54%","Below 30%")))</f>
        <v>30-54%</v>
      </c>
      <c r="S68" s="39" t="n">
        <f aca="false">MAX(0,ROUNDUP(Summary!$L$6*(G68+Summary!$L$13)-E68,0))</f>
        <v>210</v>
      </c>
      <c r="T68" s="39" t="n">
        <f aca="false">MAX(0,ROUNDUP(Summary!$L$7*(G68+Summary!$L$13)-E68,0))</f>
        <v>115</v>
      </c>
      <c r="U68" s="39" t="n">
        <f aca="false">MAX(0,ROUNDUP(Summary!$L$8*(G68+Summary!$L$13)-E68,0))</f>
        <v>0</v>
      </c>
    </row>
    <row r="69" customFormat="false" ht="15" hidden="false" customHeight="false" outlineLevel="0" collapsed="false">
      <c r="A69" s="40" t="n">
        <v>64</v>
      </c>
      <c r="B69" s="40" t="s">
        <v>26</v>
      </c>
      <c r="C69" s="40" t="s">
        <v>233</v>
      </c>
      <c r="D69" s="41" t="s">
        <v>234</v>
      </c>
      <c r="E69" s="40" t="n">
        <v>248</v>
      </c>
      <c r="F69" s="40" t="n">
        <v>113</v>
      </c>
      <c r="G69" s="40" t="n">
        <v>361</v>
      </c>
      <c r="H69" s="36" t="n">
        <f aca="false">ROUND(E69/G69*100,0)/100</f>
        <v>0.69</v>
      </c>
      <c r="I69" s="12" t="str">
        <f aca="false">IF(H69&gt;=Summary!$L$6,"Eligible","Shortage")</f>
        <v>Shortage</v>
      </c>
      <c r="J69" s="12" t="str">
        <f aca="false">IF(H69&lt;Summary!$L$8,"YES","No")</f>
        <v>No</v>
      </c>
      <c r="K69" s="12" t="str">
        <f aca="false">IF(H69&gt;=Summary!$L$7,"Counted","Not Counted")</f>
        <v>Counted</v>
      </c>
      <c r="L69" s="17" t="n">
        <f aca="false">IF(H69&gt;=Summary!$L$6,20,ROUND(H69/Summary!$L$6*10,1)*2)</f>
        <v>18.4</v>
      </c>
      <c r="M69" s="37" t="n">
        <f aca="false">20-L69</f>
        <v>1.6</v>
      </c>
      <c r="N69" s="12" t="str">
        <f aca="false">IF(H69&gt;=Summary!$L$6,"75%+ (all benefits)",IF(H69&gt;=Summary!$L$7,"55-74%",IF(H69&gt;=Summary!$L$8,"30-54%","Below 30%")))</f>
        <v>55-74%</v>
      </c>
      <c r="O69" s="13" t="n">
        <f aca="false">(E69+Summary!$L$13)/(G69+Summary!$L$13)</f>
        <v>0.761603375527426</v>
      </c>
      <c r="P69" s="17" t="n">
        <f aca="false">IF(O69&gt;=Summary!$L$6,20,ROUND(O69/Summary!$L$6*10,1)*2)</f>
        <v>20</v>
      </c>
      <c r="Q69" s="38" t="n">
        <f aca="false">P69-L69</f>
        <v>1.6</v>
      </c>
      <c r="R69" s="12" t="str">
        <f aca="false">IF(O69&gt;=Summary!$L$6,"75%+ (all benefits)",IF(O69&gt;=Summary!$L$7,"55-74%",IF(O69&gt;=Summary!$L$8,"30-54%","Below 30%")))</f>
        <v>75%+ (all benefits)</v>
      </c>
      <c r="S69" s="39" t="n">
        <f aca="false">MAX(0,ROUNDUP(Summary!$L$6*(G69+Summary!$L$13)-E69,0))</f>
        <v>108</v>
      </c>
      <c r="T69" s="39" t="n">
        <f aca="false">MAX(0,ROUNDUP(Summary!$L$7*(G69+Summary!$L$13)-E69,0))</f>
        <v>13</v>
      </c>
      <c r="U69" s="39" t="n">
        <f aca="false">MAX(0,ROUNDUP(Summary!$L$8*(G69+Summary!$L$13)-E69,0))</f>
        <v>0</v>
      </c>
    </row>
    <row r="70" customFormat="false" ht="15" hidden="false" customHeight="false" outlineLevel="0" collapsed="false">
      <c r="A70" s="12" t="n">
        <v>65</v>
      </c>
      <c r="B70" s="12" t="s">
        <v>26</v>
      </c>
      <c r="C70" s="12" t="s">
        <v>235</v>
      </c>
      <c r="D70" s="32" t="s">
        <v>236</v>
      </c>
      <c r="E70" s="12" t="n">
        <v>250</v>
      </c>
      <c r="F70" s="12" t="n">
        <v>111</v>
      </c>
      <c r="G70" s="12" t="n">
        <v>361</v>
      </c>
      <c r="H70" s="36" t="n">
        <f aca="false">ROUND(E70/G70*100,0)/100</f>
        <v>0.69</v>
      </c>
      <c r="I70" s="12" t="str">
        <f aca="false">IF(H70&gt;=Summary!$L$6,"Eligible","Shortage")</f>
        <v>Shortage</v>
      </c>
      <c r="J70" s="12" t="str">
        <f aca="false">IF(H70&lt;Summary!$L$8,"YES","No")</f>
        <v>No</v>
      </c>
      <c r="K70" s="12" t="str">
        <f aca="false">IF(H70&gt;=Summary!$L$7,"Counted","Not Counted")</f>
        <v>Counted</v>
      </c>
      <c r="L70" s="17" t="n">
        <f aca="false">IF(H70&gt;=Summary!$L$6,20,ROUND(H70/Summary!$L$6*10,1)*2)</f>
        <v>18.4</v>
      </c>
      <c r="M70" s="37" t="n">
        <f aca="false">20-L70</f>
        <v>1.6</v>
      </c>
      <c r="N70" s="12" t="str">
        <f aca="false">IF(H70&gt;=Summary!$L$6,"75%+ (all benefits)",IF(H70&gt;=Summary!$L$7,"55-74%",IF(H70&gt;=Summary!$L$8,"30-54%","Below 30%")))</f>
        <v>55-74%</v>
      </c>
      <c r="O70" s="13" t="n">
        <f aca="false">(E70+Summary!$L$13)/(G70+Summary!$L$13)</f>
        <v>0.765822784810127</v>
      </c>
      <c r="P70" s="17" t="n">
        <f aca="false">IF(O70&gt;=Summary!$L$6,20,ROUND(O70/Summary!$L$6*10,1)*2)</f>
        <v>20</v>
      </c>
      <c r="Q70" s="38" t="n">
        <f aca="false">P70-L70</f>
        <v>1.6</v>
      </c>
      <c r="R70" s="12" t="str">
        <f aca="false">IF(O70&gt;=Summary!$L$6,"75%+ (all benefits)",IF(O70&gt;=Summary!$L$7,"55-74%",IF(O70&gt;=Summary!$L$8,"30-54%","Below 30%")))</f>
        <v>75%+ (all benefits)</v>
      </c>
      <c r="S70" s="39" t="n">
        <f aca="false">MAX(0,ROUNDUP(Summary!$L$6*(G70+Summary!$L$13)-E70,0))</f>
        <v>106</v>
      </c>
      <c r="T70" s="39" t="n">
        <f aca="false">MAX(0,ROUNDUP(Summary!$L$7*(G70+Summary!$L$13)-E70,0))</f>
        <v>11</v>
      </c>
      <c r="U70" s="39" t="n">
        <f aca="false">MAX(0,ROUNDUP(Summary!$L$8*(G70+Summary!$L$13)-E70,0))</f>
        <v>0</v>
      </c>
    </row>
    <row r="71" customFormat="false" ht="15" hidden="false" customHeight="false" outlineLevel="0" collapsed="false">
      <c r="A71" s="40" t="n">
        <v>66</v>
      </c>
      <c r="B71" s="40" t="s">
        <v>26</v>
      </c>
      <c r="C71" s="40" t="s">
        <v>237</v>
      </c>
      <c r="D71" s="41" t="s">
        <v>238</v>
      </c>
      <c r="E71" s="40" t="n">
        <v>274</v>
      </c>
      <c r="F71" s="40" t="n">
        <v>87</v>
      </c>
      <c r="G71" s="40" t="n">
        <v>361</v>
      </c>
      <c r="H71" s="36" t="n">
        <f aca="false">ROUND(E71/G71*100,0)/100</f>
        <v>0.76</v>
      </c>
      <c r="I71" s="12" t="str">
        <f aca="false">IF(H71&gt;=Summary!$L$6,"Eligible","Shortage")</f>
        <v>Eligible</v>
      </c>
      <c r="J71" s="12" t="str">
        <f aca="false">IF(H71&lt;Summary!$L$8,"YES","No")</f>
        <v>No</v>
      </c>
      <c r="K71" s="12" t="str">
        <f aca="false">IF(H71&gt;=Summary!$L$7,"Counted","Not Counted")</f>
        <v>Counted</v>
      </c>
      <c r="L71" s="17" t="n">
        <f aca="false">IF(H71&gt;=Summary!$L$6,20,ROUND(H71/Summary!$L$6*10,1)*2)</f>
        <v>20</v>
      </c>
      <c r="M71" s="37" t="n">
        <f aca="false">20-L71</f>
        <v>0</v>
      </c>
      <c r="N71" s="12" t="str">
        <f aca="false">IF(H71&gt;=Summary!$L$6,"75%+ (all benefits)",IF(H71&gt;=Summary!$L$7,"55-74%",IF(H71&gt;=Summary!$L$8,"30-54%","Below 30%")))</f>
        <v>75%+ (all benefits)</v>
      </c>
      <c r="O71" s="13" t="n">
        <f aca="false">(E71+Summary!$L$13)/(G71+Summary!$L$13)</f>
        <v>0.816455696202532</v>
      </c>
      <c r="P71" s="17" t="n">
        <f aca="false">IF(O71&gt;=Summary!$L$6,20,ROUND(O71/Summary!$L$6*10,1)*2)</f>
        <v>20</v>
      </c>
      <c r="Q71" s="38" t="n">
        <f aca="false">P71-L71</f>
        <v>0</v>
      </c>
      <c r="R71" s="12" t="str">
        <f aca="false">IF(O71&gt;=Summary!$L$6,"75%+ (all benefits)",IF(O71&gt;=Summary!$L$7,"55-74%",IF(O71&gt;=Summary!$L$8,"30-54%","Below 30%")))</f>
        <v>75%+ (all benefits)</v>
      </c>
      <c r="S71" s="39" t="n">
        <f aca="false">MAX(0,ROUNDUP(Summary!$L$6*(G71+Summary!$L$13)-E71,0))</f>
        <v>82</v>
      </c>
      <c r="T71" s="39" t="n">
        <f aca="false">MAX(0,ROUNDUP(Summary!$L$7*(G71+Summary!$L$13)-E71,0))</f>
        <v>0</v>
      </c>
      <c r="U71" s="39" t="n">
        <f aca="false">MAX(0,ROUNDUP(Summary!$L$8*(G71+Summary!$L$13)-E71,0))</f>
        <v>0</v>
      </c>
    </row>
    <row r="72" customFormat="false" ht="15" hidden="false" customHeight="false" outlineLevel="0" collapsed="false">
      <c r="A72" s="12" t="n">
        <v>67</v>
      </c>
      <c r="B72" s="12" t="s">
        <v>26</v>
      </c>
      <c r="C72" s="12" t="s">
        <v>239</v>
      </c>
      <c r="D72" s="32" t="s">
        <v>240</v>
      </c>
      <c r="E72" s="12" t="n">
        <v>255</v>
      </c>
      <c r="F72" s="12" t="n">
        <v>106</v>
      </c>
      <c r="G72" s="12" t="n">
        <v>361</v>
      </c>
      <c r="H72" s="36" t="n">
        <f aca="false">ROUND(E72/G72*100,0)/100</f>
        <v>0.71</v>
      </c>
      <c r="I72" s="12" t="str">
        <f aca="false">IF(H72&gt;=Summary!$L$6,"Eligible","Shortage")</f>
        <v>Shortage</v>
      </c>
      <c r="J72" s="12" t="str">
        <f aca="false">IF(H72&lt;Summary!$L$8,"YES","No")</f>
        <v>No</v>
      </c>
      <c r="K72" s="12" t="str">
        <f aca="false">IF(H72&gt;=Summary!$L$7,"Counted","Not Counted")</f>
        <v>Counted</v>
      </c>
      <c r="L72" s="17" t="n">
        <f aca="false">IF(H72&gt;=Summary!$L$6,20,ROUND(H72/Summary!$L$6*10,1)*2)</f>
        <v>19</v>
      </c>
      <c r="M72" s="37" t="n">
        <f aca="false">20-L72</f>
        <v>1</v>
      </c>
      <c r="N72" s="12" t="str">
        <f aca="false">IF(H72&gt;=Summary!$L$6,"75%+ (all benefits)",IF(H72&gt;=Summary!$L$7,"55-74%",IF(H72&gt;=Summary!$L$8,"30-54%","Below 30%")))</f>
        <v>55-74%</v>
      </c>
      <c r="O72" s="13" t="n">
        <f aca="false">(E72+Summary!$L$13)/(G72+Summary!$L$13)</f>
        <v>0.776371308016878</v>
      </c>
      <c r="P72" s="17" t="n">
        <f aca="false">IF(O72&gt;=Summary!$L$6,20,ROUND(O72/Summary!$L$6*10,1)*2)</f>
        <v>20</v>
      </c>
      <c r="Q72" s="38" t="n">
        <f aca="false">P72-L72</f>
        <v>1</v>
      </c>
      <c r="R72" s="12" t="str">
        <f aca="false">IF(O72&gt;=Summary!$L$6,"75%+ (all benefits)",IF(O72&gt;=Summary!$L$7,"55-74%",IF(O72&gt;=Summary!$L$8,"30-54%","Below 30%")))</f>
        <v>75%+ (all benefits)</v>
      </c>
      <c r="S72" s="39" t="n">
        <f aca="false">MAX(0,ROUNDUP(Summary!$L$6*(G72+Summary!$L$13)-E72,0))</f>
        <v>101</v>
      </c>
      <c r="T72" s="39" t="n">
        <f aca="false">MAX(0,ROUNDUP(Summary!$L$7*(G72+Summary!$L$13)-E72,0))</f>
        <v>6</v>
      </c>
      <c r="U72" s="39" t="n">
        <f aca="false">MAX(0,ROUNDUP(Summary!$L$8*(G72+Summary!$L$13)-E72,0))</f>
        <v>0</v>
      </c>
    </row>
    <row r="73" customFormat="false" ht="15" hidden="false" customHeight="false" outlineLevel="0" collapsed="false">
      <c r="A73" s="40" t="n">
        <v>68</v>
      </c>
      <c r="B73" s="40" t="s">
        <v>26</v>
      </c>
      <c r="C73" s="40" t="s">
        <v>241</v>
      </c>
      <c r="D73" s="41" t="s">
        <v>242</v>
      </c>
      <c r="E73" s="40" t="n">
        <v>164</v>
      </c>
      <c r="F73" s="40" t="n">
        <v>197</v>
      </c>
      <c r="G73" s="40" t="n">
        <v>361</v>
      </c>
      <c r="H73" s="36" t="n">
        <f aca="false">ROUND(E73/G73*100,0)/100</f>
        <v>0.45</v>
      </c>
      <c r="I73" s="12" t="str">
        <f aca="false">IF(H73&gt;=Summary!$L$6,"Eligible","Shortage")</f>
        <v>Shortage</v>
      </c>
      <c r="J73" s="12" t="str">
        <f aca="false">IF(H73&lt;Summary!$L$8,"YES","No")</f>
        <v>No</v>
      </c>
      <c r="K73" s="12" t="str">
        <f aca="false">IF(H73&gt;=Summary!$L$7,"Counted","Not Counted")</f>
        <v>Not Counted</v>
      </c>
      <c r="L73" s="17" t="n">
        <f aca="false">IF(H73&gt;=Summary!$L$6,20,ROUND(H73/Summary!$L$6*10,1)*2)</f>
        <v>12</v>
      </c>
      <c r="M73" s="37" t="n">
        <f aca="false">20-L73</f>
        <v>8</v>
      </c>
      <c r="N73" s="12" t="str">
        <f aca="false">IF(H73&gt;=Summary!$L$6,"75%+ (all benefits)",IF(H73&gt;=Summary!$L$7,"55-74%",IF(H73&gt;=Summary!$L$8,"30-54%","Below 30%")))</f>
        <v>30-54%</v>
      </c>
      <c r="O73" s="13" t="n">
        <f aca="false">(E73+Summary!$L$13)/(G73+Summary!$L$13)</f>
        <v>0.584388185654008</v>
      </c>
      <c r="P73" s="17" t="n">
        <f aca="false">IF(O73&gt;=Summary!$L$6,20,ROUND(O73/Summary!$L$6*10,1)*2)</f>
        <v>15.6</v>
      </c>
      <c r="Q73" s="38" t="n">
        <f aca="false">P73-L73</f>
        <v>3.6</v>
      </c>
      <c r="R73" s="12" t="str">
        <f aca="false">IF(O73&gt;=Summary!$L$6,"75%+ (all benefits)",IF(O73&gt;=Summary!$L$7,"55-74%",IF(O73&gt;=Summary!$L$8,"30-54%","Below 30%")))</f>
        <v>55-74%</v>
      </c>
      <c r="S73" s="39" t="n">
        <f aca="false">MAX(0,ROUNDUP(Summary!$L$6*(G73+Summary!$L$13)-E73,0))</f>
        <v>192</v>
      </c>
      <c r="T73" s="39" t="n">
        <f aca="false">MAX(0,ROUNDUP(Summary!$L$7*(G73+Summary!$L$13)-E73,0))</f>
        <v>97</v>
      </c>
      <c r="U73" s="39" t="n">
        <f aca="false">MAX(0,ROUNDUP(Summary!$L$8*(G73+Summary!$L$13)-E73,0))</f>
        <v>0</v>
      </c>
    </row>
    <row r="74" customFormat="false" ht="15" hidden="false" customHeight="false" outlineLevel="0" collapsed="false">
      <c r="A74" s="12" t="n">
        <v>69</v>
      </c>
      <c r="B74" s="12" t="s">
        <v>26</v>
      </c>
      <c r="C74" s="12" t="s">
        <v>243</v>
      </c>
      <c r="D74" s="32" t="s">
        <v>244</v>
      </c>
      <c r="E74" s="12" t="n">
        <v>218</v>
      </c>
      <c r="F74" s="12" t="n">
        <v>143</v>
      </c>
      <c r="G74" s="12" t="n">
        <v>361</v>
      </c>
      <c r="H74" s="36" t="n">
        <f aca="false">ROUND(E74/G74*100,0)/100</f>
        <v>0.6</v>
      </c>
      <c r="I74" s="12" t="str">
        <f aca="false">IF(H74&gt;=Summary!$L$6,"Eligible","Shortage")</f>
        <v>Shortage</v>
      </c>
      <c r="J74" s="12" t="str">
        <f aca="false">IF(H74&lt;Summary!$L$8,"YES","No")</f>
        <v>No</v>
      </c>
      <c r="K74" s="12" t="str">
        <f aca="false">IF(H74&gt;=Summary!$L$7,"Counted","Not Counted")</f>
        <v>Counted</v>
      </c>
      <c r="L74" s="17" t="n">
        <f aca="false">IF(H74&gt;=Summary!$L$6,20,ROUND(H74/Summary!$L$6*10,1)*2)</f>
        <v>16</v>
      </c>
      <c r="M74" s="37" t="n">
        <f aca="false">20-L74</f>
        <v>4</v>
      </c>
      <c r="N74" s="12" t="str">
        <f aca="false">IF(H74&gt;=Summary!$L$6,"75%+ (all benefits)",IF(H74&gt;=Summary!$L$7,"55-74%",IF(H74&gt;=Summary!$L$8,"30-54%","Below 30%")))</f>
        <v>55-74%</v>
      </c>
      <c r="O74" s="13" t="n">
        <f aca="false">(E74+Summary!$L$13)/(G74+Summary!$L$13)</f>
        <v>0.69831223628692</v>
      </c>
      <c r="P74" s="17" t="n">
        <f aca="false">IF(O74&gt;=Summary!$L$6,20,ROUND(O74/Summary!$L$6*10,1)*2)</f>
        <v>18.6</v>
      </c>
      <c r="Q74" s="38" t="n">
        <f aca="false">P74-L74</f>
        <v>2.6</v>
      </c>
      <c r="R74" s="12" t="str">
        <f aca="false">IF(O74&gt;=Summary!$L$6,"75%+ (all benefits)",IF(O74&gt;=Summary!$L$7,"55-74%",IF(O74&gt;=Summary!$L$8,"30-54%","Below 30%")))</f>
        <v>55-74%</v>
      </c>
      <c r="S74" s="39" t="n">
        <f aca="false">MAX(0,ROUNDUP(Summary!$L$6*(G74+Summary!$L$13)-E74,0))</f>
        <v>138</v>
      </c>
      <c r="T74" s="39" t="n">
        <f aca="false">MAX(0,ROUNDUP(Summary!$L$7*(G74+Summary!$L$13)-E74,0))</f>
        <v>43</v>
      </c>
      <c r="U74" s="39" t="n">
        <f aca="false">MAX(0,ROUNDUP(Summary!$L$8*(G74+Summary!$L$13)-E74,0))</f>
        <v>0</v>
      </c>
    </row>
    <row r="75" customFormat="false" ht="15" hidden="false" customHeight="false" outlineLevel="0" collapsed="false">
      <c r="A75" s="40" t="n">
        <v>70</v>
      </c>
      <c r="B75" s="40" t="s">
        <v>26</v>
      </c>
      <c r="C75" s="40" t="s">
        <v>245</v>
      </c>
      <c r="D75" s="41" t="s">
        <v>246</v>
      </c>
      <c r="E75" s="40" t="n">
        <v>270</v>
      </c>
      <c r="F75" s="40" t="n">
        <v>91</v>
      </c>
      <c r="G75" s="40" t="n">
        <v>361</v>
      </c>
      <c r="H75" s="36" t="n">
        <f aca="false">ROUND(E75/G75*100,0)/100</f>
        <v>0.75</v>
      </c>
      <c r="I75" s="12" t="str">
        <f aca="false">IF(H75&gt;=Summary!$L$6,"Eligible","Shortage")</f>
        <v>Eligible</v>
      </c>
      <c r="J75" s="12" t="str">
        <f aca="false">IF(H75&lt;Summary!$L$8,"YES","No")</f>
        <v>No</v>
      </c>
      <c r="K75" s="12" t="str">
        <f aca="false">IF(H75&gt;=Summary!$L$7,"Counted","Not Counted")</f>
        <v>Counted</v>
      </c>
      <c r="L75" s="17" t="n">
        <f aca="false">IF(H75&gt;=Summary!$L$6,20,ROUND(H75/Summary!$L$6*10,1)*2)</f>
        <v>20</v>
      </c>
      <c r="M75" s="37" t="n">
        <f aca="false">20-L75</f>
        <v>0</v>
      </c>
      <c r="N75" s="12" t="str">
        <f aca="false">IF(H75&gt;=Summary!$L$6,"75%+ (all benefits)",IF(H75&gt;=Summary!$L$7,"55-74%",IF(H75&gt;=Summary!$L$8,"30-54%","Below 30%")))</f>
        <v>75%+ (all benefits)</v>
      </c>
      <c r="O75" s="13" t="n">
        <f aca="false">(E75+Summary!$L$13)/(G75+Summary!$L$13)</f>
        <v>0.808016877637131</v>
      </c>
      <c r="P75" s="17" t="n">
        <f aca="false">IF(O75&gt;=Summary!$L$6,20,ROUND(O75/Summary!$L$6*10,1)*2)</f>
        <v>20</v>
      </c>
      <c r="Q75" s="38" t="n">
        <f aca="false">P75-L75</f>
        <v>0</v>
      </c>
      <c r="R75" s="12" t="str">
        <f aca="false">IF(O75&gt;=Summary!$L$6,"75%+ (all benefits)",IF(O75&gt;=Summary!$L$7,"55-74%",IF(O75&gt;=Summary!$L$8,"30-54%","Below 30%")))</f>
        <v>75%+ (all benefits)</v>
      </c>
      <c r="S75" s="39" t="n">
        <f aca="false">MAX(0,ROUNDUP(Summary!$L$6*(G75+Summary!$L$13)-E75,0))</f>
        <v>86</v>
      </c>
      <c r="T75" s="39" t="n">
        <f aca="false">MAX(0,ROUNDUP(Summary!$L$7*(G75+Summary!$L$13)-E75,0))</f>
        <v>0</v>
      </c>
      <c r="U75" s="39" t="n">
        <f aca="false">MAX(0,ROUNDUP(Summary!$L$8*(G75+Summary!$L$13)-E75,0))</f>
        <v>0</v>
      </c>
    </row>
    <row r="76" customFormat="false" ht="15" hidden="false" customHeight="false" outlineLevel="0" collapsed="false">
      <c r="A76" s="12" t="n">
        <v>71</v>
      </c>
      <c r="B76" s="12" t="s">
        <v>26</v>
      </c>
      <c r="C76" s="12" t="s">
        <v>247</v>
      </c>
      <c r="D76" s="32" t="s">
        <v>248</v>
      </c>
      <c r="E76" s="12" t="n">
        <v>230</v>
      </c>
      <c r="F76" s="12" t="n">
        <v>131</v>
      </c>
      <c r="G76" s="12" t="n">
        <v>361</v>
      </c>
      <c r="H76" s="36" t="n">
        <f aca="false">ROUND(E76/G76*100,0)/100</f>
        <v>0.64</v>
      </c>
      <c r="I76" s="12" t="str">
        <f aca="false">IF(H76&gt;=Summary!$L$6,"Eligible","Shortage")</f>
        <v>Shortage</v>
      </c>
      <c r="J76" s="12" t="str">
        <f aca="false">IF(H76&lt;Summary!$L$8,"YES","No")</f>
        <v>No</v>
      </c>
      <c r="K76" s="12" t="str">
        <f aca="false">IF(H76&gt;=Summary!$L$7,"Counted","Not Counted")</f>
        <v>Counted</v>
      </c>
      <c r="L76" s="17" t="n">
        <f aca="false">IF(H76&gt;=Summary!$L$6,20,ROUND(H76/Summary!$L$6*10,1)*2)</f>
        <v>17</v>
      </c>
      <c r="M76" s="37" t="n">
        <f aca="false">20-L76</f>
        <v>3</v>
      </c>
      <c r="N76" s="12" t="str">
        <f aca="false">IF(H76&gt;=Summary!$L$6,"75%+ (all benefits)",IF(H76&gt;=Summary!$L$7,"55-74%",IF(H76&gt;=Summary!$L$8,"30-54%","Below 30%")))</f>
        <v>55-74%</v>
      </c>
      <c r="O76" s="13" t="n">
        <f aca="false">(E76+Summary!$L$13)/(G76+Summary!$L$13)</f>
        <v>0.723628691983122</v>
      </c>
      <c r="P76" s="17" t="n">
        <f aca="false">IF(O76&gt;=Summary!$L$6,20,ROUND(O76/Summary!$L$6*10,1)*2)</f>
        <v>19.2</v>
      </c>
      <c r="Q76" s="38" t="n">
        <f aca="false">P76-L76</f>
        <v>2.2</v>
      </c>
      <c r="R76" s="12" t="str">
        <f aca="false">IF(O76&gt;=Summary!$L$6,"75%+ (all benefits)",IF(O76&gt;=Summary!$L$7,"55-74%",IF(O76&gt;=Summary!$L$8,"30-54%","Below 30%")))</f>
        <v>55-74%</v>
      </c>
      <c r="S76" s="39" t="n">
        <f aca="false">MAX(0,ROUNDUP(Summary!$L$6*(G76+Summary!$L$13)-E76,0))</f>
        <v>126</v>
      </c>
      <c r="T76" s="39" t="n">
        <f aca="false">MAX(0,ROUNDUP(Summary!$L$7*(G76+Summary!$L$13)-E76,0))</f>
        <v>31</v>
      </c>
      <c r="U76" s="39" t="n">
        <f aca="false">MAX(0,ROUNDUP(Summary!$L$8*(G76+Summary!$L$13)-E76,0))</f>
        <v>0</v>
      </c>
    </row>
    <row r="77" customFormat="false" ht="15" hidden="false" customHeight="false" outlineLevel="0" collapsed="false">
      <c r="A77" s="40" t="n">
        <v>72</v>
      </c>
      <c r="B77" s="40" t="s">
        <v>26</v>
      </c>
      <c r="C77" s="40" t="s">
        <v>249</v>
      </c>
      <c r="D77" s="41" t="s">
        <v>250</v>
      </c>
      <c r="E77" s="40" t="n">
        <v>226</v>
      </c>
      <c r="F77" s="40" t="n">
        <v>135</v>
      </c>
      <c r="G77" s="40" t="n">
        <v>361</v>
      </c>
      <c r="H77" s="36" t="n">
        <f aca="false">ROUND(E77/G77*100,0)/100</f>
        <v>0.63</v>
      </c>
      <c r="I77" s="12" t="str">
        <f aca="false">IF(H77&gt;=Summary!$L$6,"Eligible","Shortage")</f>
        <v>Shortage</v>
      </c>
      <c r="J77" s="12" t="str">
        <f aca="false">IF(H77&lt;Summary!$L$8,"YES","No")</f>
        <v>No</v>
      </c>
      <c r="K77" s="12" t="str">
        <f aca="false">IF(H77&gt;=Summary!$L$7,"Counted","Not Counted")</f>
        <v>Counted</v>
      </c>
      <c r="L77" s="17" t="n">
        <f aca="false">IF(H77&gt;=Summary!$L$6,20,ROUND(H77/Summary!$L$6*10,1)*2)</f>
        <v>16.8</v>
      </c>
      <c r="M77" s="37" t="n">
        <f aca="false">20-L77</f>
        <v>3.2</v>
      </c>
      <c r="N77" s="12" t="str">
        <f aca="false">IF(H77&gt;=Summary!$L$6,"75%+ (all benefits)",IF(H77&gt;=Summary!$L$7,"55-74%",IF(H77&gt;=Summary!$L$8,"30-54%","Below 30%")))</f>
        <v>55-74%</v>
      </c>
      <c r="O77" s="13" t="n">
        <f aca="false">(E77+Summary!$L$13)/(G77+Summary!$L$13)</f>
        <v>0.715189873417722</v>
      </c>
      <c r="P77" s="17" t="n">
        <f aca="false">IF(O77&gt;=Summary!$L$6,20,ROUND(O77/Summary!$L$6*10,1)*2)</f>
        <v>19</v>
      </c>
      <c r="Q77" s="38" t="n">
        <f aca="false">P77-L77</f>
        <v>2.2</v>
      </c>
      <c r="R77" s="12" t="str">
        <f aca="false">IF(O77&gt;=Summary!$L$6,"75%+ (all benefits)",IF(O77&gt;=Summary!$L$7,"55-74%",IF(O77&gt;=Summary!$L$8,"30-54%","Below 30%")))</f>
        <v>55-74%</v>
      </c>
      <c r="S77" s="39" t="n">
        <f aca="false">MAX(0,ROUNDUP(Summary!$L$6*(G77+Summary!$L$13)-E77,0))</f>
        <v>130</v>
      </c>
      <c r="T77" s="39" t="n">
        <f aca="false">MAX(0,ROUNDUP(Summary!$L$7*(G77+Summary!$L$13)-E77,0))</f>
        <v>35</v>
      </c>
      <c r="U77" s="39" t="n">
        <f aca="false">MAX(0,ROUNDUP(Summary!$L$8*(G77+Summary!$L$13)-E77,0))</f>
        <v>0</v>
      </c>
    </row>
    <row r="78" customFormat="false" ht="15" hidden="false" customHeight="false" outlineLevel="0" collapsed="false">
      <c r="A78" s="12" t="n">
        <v>73</v>
      </c>
      <c r="B78" s="12" t="s">
        <v>26</v>
      </c>
      <c r="C78" s="12" t="s">
        <v>251</v>
      </c>
      <c r="D78" s="32" t="s">
        <v>252</v>
      </c>
      <c r="E78" s="12" t="n">
        <v>145</v>
      </c>
      <c r="F78" s="12" t="n">
        <v>216</v>
      </c>
      <c r="G78" s="12" t="n">
        <v>361</v>
      </c>
      <c r="H78" s="36" t="n">
        <f aca="false">ROUND(E78/G78*100,0)/100</f>
        <v>0.4</v>
      </c>
      <c r="I78" s="12" t="str">
        <f aca="false">IF(H78&gt;=Summary!$L$6,"Eligible","Shortage")</f>
        <v>Shortage</v>
      </c>
      <c r="J78" s="12" t="str">
        <f aca="false">IF(H78&lt;Summary!$L$8,"YES","No")</f>
        <v>No</v>
      </c>
      <c r="K78" s="12" t="str">
        <f aca="false">IF(H78&gt;=Summary!$L$7,"Counted","Not Counted")</f>
        <v>Not Counted</v>
      </c>
      <c r="L78" s="17" t="n">
        <f aca="false">IF(H78&gt;=Summary!$L$6,20,ROUND(H78/Summary!$L$6*10,1)*2)</f>
        <v>10.6</v>
      </c>
      <c r="M78" s="37" t="n">
        <f aca="false">20-L78</f>
        <v>9.4</v>
      </c>
      <c r="N78" s="12" t="str">
        <f aca="false">IF(H78&gt;=Summary!$L$6,"75%+ (all benefits)",IF(H78&gt;=Summary!$L$7,"55-74%",IF(H78&gt;=Summary!$L$8,"30-54%","Below 30%")))</f>
        <v>30-54%</v>
      </c>
      <c r="O78" s="13" t="n">
        <f aca="false">(E78+Summary!$L$13)/(G78+Summary!$L$13)</f>
        <v>0.544303797468354</v>
      </c>
      <c r="P78" s="17" t="n">
        <f aca="false">IF(O78&gt;=Summary!$L$6,20,ROUND(O78/Summary!$L$6*10,1)*2)</f>
        <v>14.6</v>
      </c>
      <c r="Q78" s="38" t="n">
        <f aca="false">P78-L78</f>
        <v>4</v>
      </c>
      <c r="R78" s="12" t="str">
        <f aca="false">IF(O78&gt;=Summary!$L$6,"75%+ (all benefits)",IF(O78&gt;=Summary!$L$7,"55-74%",IF(O78&gt;=Summary!$L$8,"30-54%","Below 30%")))</f>
        <v>30-54%</v>
      </c>
      <c r="S78" s="39" t="n">
        <f aca="false">MAX(0,ROUNDUP(Summary!$L$6*(G78+Summary!$L$13)-E78,0))</f>
        <v>211</v>
      </c>
      <c r="T78" s="39" t="n">
        <f aca="false">MAX(0,ROUNDUP(Summary!$L$7*(G78+Summary!$L$13)-E78,0))</f>
        <v>116</v>
      </c>
      <c r="U78" s="39" t="n">
        <f aca="false">MAX(0,ROUNDUP(Summary!$L$8*(G78+Summary!$L$13)-E78,0))</f>
        <v>0</v>
      </c>
    </row>
    <row r="79" customFormat="false" ht="15" hidden="false" customHeight="false" outlineLevel="0" collapsed="false">
      <c r="A79" s="40" t="n">
        <v>74</v>
      </c>
      <c r="B79" s="40" t="s">
        <v>26</v>
      </c>
      <c r="C79" s="40" t="s">
        <v>253</v>
      </c>
      <c r="D79" s="41" t="s">
        <v>254</v>
      </c>
      <c r="E79" s="40" t="n">
        <v>264</v>
      </c>
      <c r="F79" s="40" t="n">
        <v>97</v>
      </c>
      <c r="G79" s="40" t="n">
        <v>361</v>
      </c>
      <c r="H79" s="36" t="n">
        <f aca="false">ROUND(E79/G79*100,0)/100</f>
        <v>0.73</v>
      </c>
      <c r="I79" s="12" t="str">
        <f aca="false">IF(H79&gt;=Summary!$L$6,"Eligible","Shortage")</f>
        <v>Shortage</v>
      </c>
      <c r="J79" s="12" t="str">
        <f aca="false">IF(H79&lt;Summary!$L$8,"YES","No")</f>
        <v>No</v>
      </c>
      <c r="K79" s="12" t="str">
        <f aca="false">IF(H79&gt;=Summary!$L$7,"Counted","Not Counted")</f>
        <v>Counted</v>
      </c>
      <c r="L79" s="17" t="n">
        <f aca="false">IF(H79&gt;=Summary!$L$6,20,ROUND(H79/Summary!$L$6*10,1)*2)</f>
        <v>19.4</v>
      </c>
      <c r="M79" s="37" t="n">
        <f aca="false">20-L79</f>
        <v>0.600000000000001</v>
      </c>
      <c r="N79" s="12" t="str">
        <f aca="false">IF(H79&gt;=Summary!$L$6,"75%+ (all benefits)",IF(H79&gt;=Summary!$L$7,"55-74%",IF(H79&gt;=Summary!$L$8,"30-54%","Below 30%")))</f>
        <v>55-74%</v>
      </c>
      <c r="O79" s="13" t="n">
        <f aca="false">(E79+Summary!$L$13)/(G79+Summary!$L$13)</f>
        <v>0.79535864978903</v>
      </c>
      <c r="P79" s="17" t="n">
        <f aca="false">IF(O79&gt;=Summary!$L$6,20,ROUND(O79/Summary!$L$6*10,1)*2)</f>
        <v>20</v>
      </c>
      <c r="Q79" s="38" t="n">
        <f aca="false">P79-L79</f>
        <v>0.600000000000001</v>
      </c>
      <c r="R79" s="12" t="str">
        <f aca="false">IF(O79&gt;=Summary!$L$6,"75%+ (all benefits)",IF(O79&gt;=Summary!$L$7,"55-74%",IF(O79&gt;=Summary!$L$8,"30-54%","Below 30%")))</f>
        <v>75%+ (all benefits)</v>
      </c>
      <c r="S79" s="39" t="n">
        <f aca="false">MAX(0,ROUNDUP(Summary!$L$6*(G79+Summary!$L$13)-E79,0))</f>
        <v>92</v>
      </c>
      <c r="T79" s="39" t="n">
        <f aca="false">MAX(0,ROUNDUP(Summary!$L$7*(G79+Summary!$L$13)-E79,0))</f>
        <v>0</v>
      </c>
      <c r="U79" s="39" t="n">
        <f aca="false">MAX(0,ROUNDUP(Summary!$L$8*(G79+Summary!$L$13)-E79,0))</f>
        <v>0</v>
      </c>
    </row>
    <row r="80" customFormat="false" ht="15" hidden="false" customHeight="false" outlineLevel="0" collapsed="false">
      <c r="A80" s="12" t="n">
        <v>75</v>
      </c>
      <c r="B80" s="12" t="s">
        <v>26</v>
      </c>
      <c r="C80" s="12" t="s">
        <v>255</v>
      </c>
      <c r="D80" s="32" t="s">
        <v>256</v>
      </c>
      <c r="E80" s="12" t="n">
        <v>111</v>
      </c>
      <c r="F80" s="12" t="n">
        <v>250</v>
      </c>
      <c r="G80" s="12" t="n">
        <v>361</v>
      </c>
      <c r="H80" s="36" t="n">
        <f aca="false">ROUND(E80/G80*100,0)/100</f>
        <v>0.31</v>
      </c>
      <c r="I80" s="12" t="str">
        <f aca="false">IF(H80&gt;=Summary!$L$6,"Eligible","Shortage")</f>
        <v>Shortage</v>
      </c>
      <c r="J80" s="12" t="str">
        <f aca="false">IF(H80&lt;Summary!$L$8,"YES","No")</f>
        <v>No</v>
      </c>
      <c r="K80" s="12" t="str">
        <f aca="false">IF(H80&gt;=Summary!$L$7,"Counted","Not Counted")</f>
        <v>Not Counted</v>
      </c>
      <c r="L80" s="17" t="n">
        <f aca="false">IF(H80&gt;=Summary!$L$6,20,ROUND(H80/Summary!$L$6*10,1)*2)</f>
        <v>8.2</v>
      </c>
      <c r="M80" s="37" t="n">
        <f aca="false">20-L80</f>
        <v>11.8</v>
      </c>
      <c r="N80" s="12" t="str">
        <f aca="false">IF(H80&gt;=Summary!$L$6,"75%+ (all benefits)",IF(H80&gt;=Summary!$L$7,"55-74%",IF(H80&gt;=Summary!$L$8,"30-54%","Below 30%")))</f>
        <v>30-54%</v>
      </c>
      <c r="O80" s="13" t="n">
        <f aca="false">(E80+Summary!$L$13)/(G80+Summary!$L$13)</f>
        <v>0.472573839662447</v>
      </c>
      <c r="P80" s="17" t="n">
        <f aca="false">IF(O80&gt;=Summary!$L$6,20,ROUND(O80/Summary!$L$6*10,1)*2)</f>
        <v>12.6</v>
      </c>
      <c r="Q80" s="38" t="n">
        <f aca="false">P80-L80</f>
        <v>4.4</v>
      </c>
      <c r="R80" s="12" t="str">
        <f aca="false">IF(O80&gt;=Summary!$L$6,"75%+ (all benefits)",IF(O80&gt;=Summary!$L$7,"55-74%",IF(O80&gt;=Summary!$L$8,"30-54%","Below 30%")))</f>
        <v>30-54%</v>
      </c>
      <c r="S80" s="39" t="n">
        <f aca="false">MAX(0,ROUNDUP(Summary!$L$6*(G80+Summary!$L$13)-E80,0))</f>
        <v>245</v>
      </c>
      <c r="T80" s="39" t="n">
        <f aca="false">MAX(0,ROUNDUP(Summary!$L$7*(G80+Summary!$L$13)-E80,0))</f>
        <v>150</v>
      </c>
      <c r="U80" s="39" t="n">
        <f aca="false">MAX(0,ROUNDUP(Summary!$L$8*(G80+Summary!$L$13)-E80,0))</f>
        <v>32</v>
      </c>
    </row>
    <row r="81" customFormat="false" ht="15" hidden="false" customHeight="false" outlineLevel="0" collapsed="false">
      <c r="A81" s="40" t="n">
        <v>76</v>
      </c>
      <c r="B81" s="40" t="s">
        <v>26</v>
      </c>
      <c r="C81" s="40" t="s">
        <v>257</v>
      </c>
      <c r="D81" s="41" t="s">
        <v>258</v>
      </c>
      <c r="E81" s="40" t="n">
        <v>225</v>
      </c>
      <c r="F81" s="40" t="n">
        <v>136</v>
      </c>
      <c r="G81" s="40" t="n">
        <v>361</v>
      </c>
      <c r="H81" s="36" t="n">
        <f aca="false">ROUND(E81/G81*100,0)/100</f>
        <v>0.62</v>
      </c>
      <c r="I81" s="12" t="str">
        <f aca="false">IF(H81&gt;=Summary!$L$6,"Eligible","Shortage")</f>
        <v>Shortage</v>
      </c>
      <c r="J81" s="12" t="str">
        <f aca="false">IF(H81&lt;Summary!$L$8,"YES","No")</f>
        <v>No</v>
      </c>
      <c r="K81" s="12" t="str">
        <f aca="false">IF(H81&gt;=Summary!$L$7,"Counted","Not Counted")</f>
        <v>Counted</v>
      </c>
      <c r="L81" s="17" t="n">
        <f aca="false">IF(H81&gt;=Summary!$L$6,20,ROUND(H81/Summary!$L$6*10,1)*2)</f>
        <v>16.6</v>
      </c>
      <c r="M81" s="37" t="n">
        <f aca="false">20-L81</f>
        <v>3.4</v>
      </c>
      <c r="N81" s="12" t="str">
        <f aca="false">IF(H81&gt;=Summary!$L$6,"75%+ (all benefits)",IF(H81&gt;=Summary!$L$7,"55-74%",IF(H81&gt;=Summary!$L$8,"30-54%","Below 30%")))</f>
        <v>55-74%</v>
      </c>
      <c r="O81" s="13" t="n">
        <f aca="false">(E81+Summary!$L$13)/(G81+Summary!$L$13)</f>
        <v>0.713080168776371</v>
      </c>
      <c r="P81" s="17" t="n">
        <f aca="false">IF(O81&gt;=Summary!$L$6,20,ROUND(O81/Summary!$L$6*10,1)*2)</f>
        <v>19</v>
      </c>
      <c r="Q81" s="38" t="n">
        <f aca="false">P81-L81</f>
        <v>2.4</v>
      </c>
      <c r="R81" s="12" t="str">
        <f aca="false">IF(O81&gt;=Summary!$L$6,"75%+ (all benefits)",IF(O81&gt;=Summary!$L$7,"55-74%",IF(O81&gt;=Summary!$L$8,"30-54%","Below 30%")))</f>
        <v>55-74%</v>
      </c>
      <c r="S81" s="39" t="n">
        <f aca="false">MAX(0,ROUNDUP(Summary!$L$6*(G81+Summary!$L$13)-E81,0))</f>
        <v>131</v>
      </c>
      <c r="T81" s="39" t="n">
        <f aca="false">MAX(0,ROUNDUP(Summary!$L$7*(G81+Summary!$L$13)-E81,0))</f>
        <v>36</v>
      </c>
      <c r="U81" s="39" t="n">
        <f aca="false">MAX(0,ROUNDUP(Summary!$L$8*(G81+Summary!$L$13)-E81,0))</f>
        <v>0</v>
      </c>
    </row>
    <row r="82" customFormat="false" ht="15" hidden="false" customHeight="false" outlineLevel="0" collapsed="false">
      <c r="A82" s="12" t="n">
        <v>77</v>
      </c>
      <c r="B82" s="12" t="s">
        <v>26</v>
      </c>
      <c r="C82" s="12" t="s">
        <v>259</v>
      </c>
      <c r="D82" s="32" t="s">
        <v>260</v>
      </c>
      <c r="E82" s="12" t="n">
        <v>268</v>
      </c>
      <c r="F82" s="12" t="n">
        <v>93</v>
      </c>
      <c r="G82" s="12" t="n">
        <v>361</v>
      </c>
      <c r="H82" s="36" t="n">
        <f aca="false">ROUND(E82/G82*100,0)/100</f>
        <v>0.74</v>
      </c>
      <c r="I82" s="12" t="str">
        <f aca="false">IF(H82&gt;=Summary!$L$6,"Eligible","Shortage")</f>
        <v>Shortage</v>
      </c>
      <c r="J82" s="12" t="str">
        <f aca="false">IF(H82&lt;Summary!$L$8,"YES","No")</f>
        <v>No</v>
      </c>
      <c r="K82" s="12" t="str">
        <f aca="false">IF(H82&gt;=Summary!$L$7,"Counted","Not Counted")</f>
        <v>Counted</v>
      </c>
      <c r="L82" s="17" t="n">
        <f aca="false">IF(H82&gt;=Summary!$L$6,20,ROUND(H82/Summary!$L$6*10,1)*2)</f>
        <v>19.8</v>
      </c>
      <c r="M82" s="37" t="n">
        <f aca="false">20-L82</f>
        <v>0.199999999999999</v>
      </c>
      <c r="N82" s="12" t="str">
        <f aca="false">IF(H82&gt;=Summary!$L$6,"75%+ (all benefits)",IF(H82&gt;=Summary!$L$7,"55-74%",IF(H82&gt;=Summary!$L$8,"30-54%","Below 30%")))</f>
        <v>55-74%</v>
      </c>
      <c r="O82" s="13" t="n">
        <f aca="false">(E82+Summary!$L$13)/(G82+Summary!$L$13)</f>
        <v>0.80379746835443</v>
      </c>
      <c r="P82" s="17" t="n">
        <f aca="false">IF(O82&gt;=Summary!$L$6,20,ROUND(O82/Summary!$L$6*10,1)*2)</f>
        <v>20</v>
      </c>
      <c r="Q82" s="38" t="n">
        <f aca="false">P82-L82</f>
        <v>0.199999999999999</v>
      </c>
      <c r="R82" s="12" t="str">
        <f aca="false">IF(O82&gt;=Summary!$L$6,"75%+ (all benefits)",IF(O82&gt;=Summary!$L$7,"55-74%",IF(O82&gt;=Summary!$L$8,"30-54%","Below 30%")))</f>
        <v>75%+ (all benefits)</v>
      </c>
      <c r="S82" s="39" t="n">
        <f aca="false">MAX(0,ROUNDUP(Summary!$L$6*(G82+Summary!$L$13)-E82,0))</f>
        <v>88</v>
      </c>
      <c r="T82" s="39" t="n">
        <f aca="false">MAX(0,ROUNDUP(Summary!$L$7*(G82+Summary!$L$13)-E82,0))</f>
        <v>0</v>
      </c>
      <c r="U82" s="39" t="n">
        <f aca="false">MAX(0,ROUNDUP(Summary!$L$8*(G82+Summary!$L$13)-E82,0))</f>
        <v>0</v>
      </c>
    </row>
    <row r="83" customFormat="false" ht="15" hidden="false" customHeight="false" outlineLevel="0" collapsed="false">
      <c r="A83" s="40" t="n">
        <v>78</v>
      </c>
      <c r="B83" s="40" t="s">
        <v>26</v>
      </c>
      <c r="C83" s="40" t="s">
        <v>261</v>
      </c>
      <c r="D83" s="41" t="s">
        <v>262</v>
      </c>
      <c r="E83" s="40" t="n">
        <v>287</v>
      </c>
      <c r="F83" s="40" t="n">
        <v>74</v>
      </c>
      <c r="G83" s="40" t="n">
        <v>361</v>
      </c>
      <c r="H83" s="36" t="n">
        <f aca="false">ROUND(E83/G83*100,0)/100</f>
        <v>0.8</v>
      </c>
      <c r="I83" s="12" t="str">
        <f aca="false">IF(H83&gt;=Summary!$L$6,"Eligible","Shortage")</f>
        <v>Eligible</v>
      </c>
      <c r="J83" s="12" t="str">
        <f aca="false">IF(H83&lt;Summary!$L$8,"YES","No")</f>
        <v>No</v>
      </c>
      <c r="K83" s="12" t="str">
        <f aca="false">IF(H83&gt;=Summary!$L$7,"Counted","Not Counted")</f>
        <v>Counted</v>
      </c>
      <c r="L83" s="17" t="n">
        <f aca="false">IF(H83&gt;=Summary!$L$6,20,ROUND(H83/Summary!$L$6*10,1)*2)</f>
        <v>20</v>
      </c>
      <c r="M83" s="37" t="n">
        <f aca="false">20-L83</f>
        <v>0</v>
      </c>
      <c r="N83" s="12" t="str">
        <f aca="false">IF(H83&gt;=Summary!$L$6,"75%+ (all benefits)",IF(H83&gt;=Summary!$L$7,"55-74%",IF(H83&gt;=Summary!$L$8,"30-54%","Below 30%")))</f>
        <v>75%+ (all benefits)</v>
      </c>
      <c r="O83" s="13" t="n">
        <f aca="false">(E83+Summary!$L$13)/(G83+Summary!$L$13)</f>
        <v>0.843881856540084</v>
      </c>
      <c r="P83" s="17" t="n">
        <f aca="false">IF(O83&gt;=Summary!$L$6,20,ROUND(O83/Summary!$L$6*10,1)*2)</f>
        <v>20</v>
      </c>
      <c r="Q83" s="38" t="n">
        <f aca="false">P83-L83</f>
        <v>0</v>
      </c>
      <c r="R83" s="12" t="str">
        <f aca="false">IF(O83&gt;=Summary!$L$6,"75%+ (all benefits)",IF(O83&gt;=Summary!$L$7,"55-74%",IF(O83&gt;=Summary!$L$8,"30-54%","Below 30%")))</f>
        <v>75%+ (all benefits)</v>
      </c>
      <c r="S83" s="39" t="n">
        <f aca="false">MAX(0,ROUNDUP(Summary!$L$6*(G83+Summary!$L$13)-E83,0))</f>
        <v>69</v>
      </c>
      <c r="T83" s="39" t="n">
        <f aca="false">MAX(0,ROUNDUP(Summary!$L$7*(G83+Summary!$L$13)-E83,0))</f>
        <v>0</v>
      </c>
      <c r="U83" s="39" t="n">
        <f aca="false">MAX(0,ROUNDUP(Summary!$L$8*(G83+Summary!$L$13)-E83,0))</f>
        <v>0</v>
      </c>
    </row>
    <row r="84" customFormat="false" ht="15" hidden="false" customHeight="false" outlineLevel="0" collapsed="false">
      <c r="A84" s="12" t="n">
        <v>79</v>
      </c>
      <c r="B84" s="12" t="s">
        <v>26</v>
      </c>
      <c r="C84" s="12" t="s">
        <v>263</v>
      </c>
      <c r="D84" s="32" t="s">
        <v>264</v>
      </c>
      <c r="E84" s="12" t="n">
        <v>156</v>
      </c>
      <c r="F84" s="12" t="n">
        <v>205</v>
      </c>
      <c r="G84" s="12" t="n">
        <v>361</v>
      </c>
      <c r="H84" s="36" t="n">
        <f aca="false">ROUND(E84/G84*100,0)/100</f>
        <v>0.43</v>
      </c>
      <c r="I84" s="12" t="str">
        <f aca="false">IF(H84&gt;=Summary!$L$6,"Eligible","Shortage")</f>
        <v>Shortage</v>
      </c>
      <c r="J84" s="12" t="str">
        <f aca="false">IF(H84&lt;Summary!$L$8,"YES","No")</f>
        <v>No</v>
      </c>
      <c r="K84" s="12" t="str">
        <f aca="false">IF(H84&gt;=Summary!$L$7,"Counted","Not Counted")</f>
        <v>Not Counted</v>
      </c>
      <c r="L84" s="17" t="n">
        <f aca="false">IF(H84&gt;=Summary!$L$6,20,ROUND(H84/Summary!$L$6*10,1)*2)</f>
        <v>11.4</v>
      </c>
      <c r="M84" s="37" t="n">
        <f aca="false">20-L84</f>
        <v>8.6</v>
      </c>
      <c r="N84" s="12" t="str">
        <f aca="false">IF(H84&gt;=Summary!$L$6,"75%+ (all benefits)",IF(H84&gt;=Summary!$L$7,"55-74%",IF(H84&gt;=Summary!$L$8,"30-54%","Below 30%")))</f>
        <v>30-54%</v>
      </c>
      <c r="O84" s="13" t="n">
        <f aca="false">(E84+Summary!$L$13)/(G84+Summary!$L$13)</f>
        <v>0.567510548523207</v>
      </c>
      <c r="P84" s="17" t="n">
        <f aca="false">IF(O84&gt;=Summary!$L$6,20,ROUND(O84/Summary!$L$6*10,1)*2)</f>
        <v>15.2</v>
      </c>
      <c r="Q84" s="38" t="n">
        <f aca="false">P84-L84</f>
        <v>3.8</v>
      </c>
      <c r="R84" s="12" t="str">
        <f aca="false">IF(O84&gt;=Summary!$L$6,"75%+ (all benefits)",IF(O84&gt;=Summary!$L$7,"55-74%",IF(O84&gt;=Summary!$L$8,"30-54%","Below 30%")))</f>
        <v>55-74%</v>
      </c>
      <c r="S84" s="39" t="n">
        <f aca="false">MAX(0,ROUNDUP(Summary!$L$6*(G84+Summary!$L$13)-E84,0))</f>
        <v>200</v>
      </c>
      <c r="T84" s="39" t="n">
        <f aca="false">MAX(0,ROUNDUP(Summary!$L$7*(G84+Summary!$L$13)-E84,0))</f>
        <v>105</v>
      </c>
      <c r="U84" s="39" t="n">
        <f aca="false">MAX(0,ROUNDUP(Summary!$L$8*(G84+Summary!$L$13)-E84,0))</f>
        <v>0</v>
      </c>
    </row>
    <row r="85" customFormat="false" ht="15" hidden="false" customHeight="false" outlineLevel="0" collapsed="false">
      <c r="A85" s="40" t="n">
        <v>80</v>
      </c>
      <c r="B85" s="40" t="s">
        <v>26</v>
      </c>
      <c r="C85" s="40" t="s">
        <v>265</v>
      </c>
      <c r="D85" s="41" t="s">
        <v>266</v>
      </c>
      <c r="E85" s="40" t="n">
        <v>267</v>
      </c>
      <c r="F85" s="40" t="n">
        <v>94</v>
      </c>
      <c r="G85" s="40" t="n">
        <v>361</v>
      </c>
      <c r="H85" s="36" t="n">
        <f aca="false">ROUND(E85/G85*100,0)/100</f>
        <v>0.74</v>
      </c>
      <c r="I85" s="12" t="str">
        <f aca="false">IF(H85&gt;=Summary!$L$6,"Eligible","Shortage")</f>
        <v>Shortage</v>
      </c>
      <c r="J85" s="12" t="str">
        <f aca="false">IF(H85&lt;Summary!$L$8,"YES","No")</f>
        <v>No</v>
      </c>
      <c r="K85" s="12" t="str">
        <f aca="false">IF(H85&gt;=Summary!$L$7,"Counted","Not Counted")</f>
        <v>Counted</v>
      </c>
      <c r="L85" s="17" t="n">
        <f aca="false">IF(H85&gt;=Summary!$L$6,20,ROUND(H85/Summary!$L$6*10,1)*2)</f>
        <v>19.8</v>
      </c>
      <c r="M85" s="37" t="n">
        <f aca="false">20-L85</f>
        <v>0.199999999999999</v>
      </c>
      <c r="N85" s="12" t="str">
        <f aca="false">IF(H85&gt;=Summary!$L$6,"75%+ (all benefits)",IF(H85&gt;=Summary!$L$7,"55-74%",IF(H85&gt;=Summary!$L$8,"30-54%","Below 30%")))</f>
        <v>55-74%</v>
      </c>
      <c r="O85" s="13" t="n">
        <f aca="false">(E85+Summary!$L$13)/(G85+Summary!$L$13)</f>
        <v>0.80168776371308</v>
      </c>
      <c r="P85" s="17" t="n">
        <f aca="false">IF(O85&gt;=Summary!$L$6,20,ROUND(O85/Summary!$L$6*10,1)*2)</f>
        <v>20</v>
      </c>
      <c r="Q85" s="38" t="n">
        <f aca="false">P85-L85</f>
        <v>0.199999999999999</v>
      </c>
      <c r="R85" s="12" t="str">
        <f aca="false">IF(O85&gt;=Summary!$L$6,"75%+ (all benefits)",IF(O85&gt;=Summary!$L$7,"55-74%",IF(O85&gt;=Summary!$L$8,"30-54%","Below 30%")))</f>
        <v>75%+ (all benefits)</v>
      </c>
      <c r="S85" s="39" t="n">
        <f aca="false">MAX(0,ROUNDUP(Summary!$L$6*(G85+Summary!$L$13)-E85,0))</f>
        <v>89</v>
      </c>
      <c r="T85" s="39" t="n">
        <f aca="false">MAX(0,ROUNDUP(Summary!$L$7*(G85+Summary!$L$13)-E85,0))</f>
        <v>0</v>
      </c>
      <c r="U85" s="39" t="n">
        <f aca="false">MAX(0,ROUNDUP(Summary!$L$8*(G85+Summary!$L$13)-E85,0))</f>
        <v>0</v>
      </c>
    </row>
    <row r="86" customFormat="false" ht="15" hidden="false" customHeight="false" outlineLevel="0" collapsed="false">
      <c r="A86" s="12" t="n">
        <v>81</v>
      </c>
      <c r="B86" s="12" t="s">
        <v>26</v>
      </c>
      <c r="C86" s="12" t="s">
        <v>267</v>
      </c>
      <c r="D86" s="32" t="s">
        <v>268</v>
      </c>
      <c r="E86" s="12" t="n">
        <v>139</v>
      </c>
      <c r="F86" s="12" t="n">
        <v>222</v>
      </c>
      <c r="G86" s="12" t="n">
        <v>361</v>
      </c>
      <c r="H86" s="36" t="n">
        <f aca="false">ROUND(E86/G86*100,0)/100</f>
        <v>0.39</v>
      </c>
      <c r="I86" s="12" t="str">
        <f aca="false">IF(H86&gt;=Summary!$L$6,"Eligible","Shortage")</f>
        <v>Shortage</v>
      </c>
      <c r="J86" s="12" t="str">
        <f aca="false">IF(H86&lt;Summary!$L$8,"YES","No")</f>
        <v>No</v>
      </c>
      <c r="K86" s="12" t="str">
        <f aca="false">IF(H86&gt;=Summary!$L$7,"Counted","Not Counted")</f>
        <v>Not Counted</v>
      </c>
      <c r="L86" s="17" t="n">
        <f aca="false">IF(H86&gt;=Summary!$L$6,20,ROUND(H86/Summary!$L$6*10,1)*2)</f>
        <v>10.4</v>
      </c>
      <c r="M86" s="37" t="n">
        <f aca="false">20-L86</f>
        <v>9.6</v>
      </c>
      <c r="N86" s="12" t="str">
        <f aca="false">IF(H86&gt;=Summary!$L$6,"75%+ (all benefits)",IF(H86&gt;=Summary!$L$7,"55-74%",IF(H86&gt;=Summary!$L$8,"30-54%","Below 30%")))</f>
        <v>30-54%</v>
      </c>
      <c r="O86" s="13" t="n">
        <f aca="false">(E86+Summary!$L$13)/(G86+Summary!$L$13)</f>
        <v>0.531645569620253</v>
      </c>
      <c r="P86" s="17" t="n">
        <f aca="false">IF(O86&gt;=Summary!$L$6,20,ROUND(O86/Summary!$L$6*10,1)*2)</f>
        <v>14.2</v>
      </c>
      <c r="Q86" s="38" t="n">
        <f aca="false">P86-L86</f>
        <v>3.8</v>
      </c>
      <c r="R86" s="12" t="str">
        <f aca="false">IF(O86&gt;=Summary!$L$6,"75%+ (all benefits)",IF(O86&gt;=Summary!$L$7,"55-74%",IF(O86&gt;=Summary!$L$8,"30-54%","Below 30%")))</f>
        <v>30-54%</v>
      </c>
      <c r="S86" s="39" t="n">
        <f aca="false">MAX(0,ROUNDUP(Summary!$L$6*(G86+Summary!$L$13)-E86,0))</f>
        <v>217</v>
      </c>
      <c r="T86" s="39" t="n">
        <f aca="false">MAX(0,ROUNDUP(Summary!$L$7*(G86+Summary!$L$13)-E86,0))</f>
        <v>122</v>
      </c>
      <c r="U86" s="39" t="n">
        <f aca="false">MAX(0,ROUNDUP(Summary!$L$8*(G86+Summary!$L$13)-E86,0))</f>
        <v>4</v>
      </c>
    </row>
    <row r="87" customFormat="false" ht="15" hidden="false" customHeight="false" outlineLevel="0" collapsed="false">
      <c r="A87" s="40" t="n">
        <v>82</v>
      </c>
      <c r="B87" s="40" t="s">
        <v>26</v>
      </c>
      <c r="C87" s="40" t="s">
        <v>269</v>
      </c>
      <c r="D87" s="41" t="s">
        <v>270</v>
      </c>
      <c r="E87" s="40" t="n">
        <v>235</v>
      </c>
      <c r="F87" s="40" t="n">
        <v>126</v>
      </c>
      <c r="G87" s="40" t="n">
        <v>361</v>
      </c>
      <c r="H87" s="36" t="n">
        <f aca="false">ROUND(E87/G87*100,0)/100</f>
        <v>0.65</v>
      </c>
      <c r="I87" s="12" t="str">
        <f aca="false">IF(H87&gt;=Summary!$L$6,"Eligible","Shortage")</f>
        <v>Shortage</v>
      </c>
      <c r="J87" s="12" t="str">
        <f aca="false">IF(H87&lt;Summary!$L$8,"YES","No")</f>
        <v>No</v>
      </c>
      <c r="K87" s="12" t="str">
        <f aca="false">IF(H87&gt;=Summary!$L$7,"Counted","Not Counted")</f>
        <v>Counted</v>
      </c>
      <c r="L87" s="17" t="n">
        <f aca="false">IF(H87&gt;=Summary!$L$6,20,ROUND(H87/Summary!$L$6*10,1)*2)</f>
        <v>17.4</v>
      </c>
      <c r="M87" s="37" t="n">
        <f aca="false">20-L87</f>
        <v>2.6</v>
      </c>
      <c r="N87" s="12" t="str">
        <f aca="false">IF(H87&gt;=Summary!$L$6,"75%+ (all benefits)",IF(H87&gt;=Summary!$L$7,"55-74%",IF(H87&gt;=Summary!$L$8,"30-54%","Below 30%")))</f>
        <v>55-74%</v>
      </c>
      <c r="O87" s="13" t="n">
        <f aca="false">(E87+Summary!$L$13)/(G87+Summary!$L$13)</f>
        <v>0.734177215189873</v>
      </c>
      <c r="P87" s="17" t="n">
        <f aca="false">IF(O87&gt;=Summary!$L$6,20,ROUND(O87/Summary!$L$6*10,1)*2)</f>
        <v>19.6</v>
      </c>
      <c r="Q87" s="38" t="n">
        <f aca="false">P87-L87</f>
        <v>2.2</v>
      </c>
      <c r="R87" s="12" t="str">
        <f aca="false">IF(O87&gt;=Summary!$L$6,"75%+ (all benefits)",IF(O87&gt;=Summary!$L$7,"55-74%",IF(O87&gt;=Summary!$L$8,"30-54%","Below 30%")))</f>
        <v>55-74%</v>
      </c>
      <c r="S87" s="39" t="n">
        <f aca="false">MAX(0,ROUNDUP(Summary!$L$6*(G87+Summary!$L$13)-E87,0))</f>
        <v>121</v>
      </c>
      <c r="T87" s="39" t="n">
        <f aca="false">MAX(0,ROUNDUP(Summary!$L$7*(G87+Summary!$L$13)-E87,0))</f>
        <v>26</v>
      </c>
      <c r="U87" s="39" t="n">
        <f aca="false">MAX(0,ROUNDUP(Summary!$L$8*(G87+Summary!$L$13)-E87,0))</f>
        <v>0</v>
      </c>
    </row>
    <row r="88" customFormat="false" ht="15" hidden="false" customHeight="false" outlineLevel="0" collapsed="false">
      <c r="A88" s="12" t="n">
        <v>83</v>
      </c>
      <c r="B88" s="12" t="s">
        <v>26</v>
      </c>
      <c r="C88" s="12" t="s">
        <v>271</v>
      </c>
      <c r="D88" s="32" t="s">
        <v>272</v>
      </c>
      <c r="E88" s="12" t="n">
        <v>242</v>
      </c>
      <c r="F88" s="12" t="n">
        <v>119</v>
      </c>
      <c r="G88" s="12" t="n">
        <v>361</v>
      </c>
      <c r="H88" s="36" t="n">
        <f aca="false">ROUND(E88/G88*100,0)/100</f>
        <v>0.67</v>
      </c>
      <c r="I88" s="12" t="str">
        <f aca="false">IF(H88&gt;=Summary!$L$6,"Eligible","Shortage")</f>
        <v>Shortage</v>
      </c>
      <c r="J88" s="12" t="str">
        <f aca="false">IF(H88&lt;Summary!$L$8,"YES","No")</f>
        <v>No</v>
      </c>
      <c r="K88" s="12" t="str">
        <f aca="false">IF(H88&gt;=Summary!$L$7,"Counted","Not Counted")</f>
        <v>Counted</v>
      </c>
      <c r="L88" s="17" t="n">
        <f aca="false">IF(H88&gt;=Summary!$L$6,20,ROUND(H88/Summary!$L$6*10,1)*2)</f>
        <v>17.8</v>
      </c>
      <c r="M88" s="37" t="n">
        <f aca="false">20-L88</f>
        <v>2.2</v>
      </c>
      <c r="N88" s="12" t="str">
        <f aca="false">IF(H88&gt;=Summary!$L$6,"75%+ (all benefits)",IF(H88&gt;=Summary!$L$7,"55-74%",IF(H88&gt;=Summary!$L$8,"30-54%","Below 30%")))</f>
        <v>55-74%</v>
      </c>
      <c r="O88" s="13" t="n">
        <f aca="false">(E88+Summary!$L$13)/(G88+Summary!$L$13)</f>
        <v>0.748945147679325</v>
      </c>
      <c r="P88" s="17" t="n">
        <f aca="false">IF(O88&gt;=Summary!$L$6,20,ROUND(O88/Summary!$L$6*10,1)*2)</f>
        <v>20</v>
      </c>
      <c r="Q88" s="38" t="n">
        <f aca="false">P88-L88</f>
        <v>2.2</v>
      </c>
      <c r="R88" s="12" t="str">
        <f aca="false">IF(O88&gt;=Summary!$L$6,"75%+ (all benefits)",IF(O88&gt;=Summary!$L$7,"55-74%",IF(O88&gt;=Summary!$L$8,"30-54%","Below 30%")))</f>
        <v>55-74%</v>
      </c>
      <c r="S88" s="39" t="n">
        <f aca="false">MAX(0,ROUNDUP(Summary!$L$6*(G88+Summary!$L$13)-E88,0))</f>
        <v>114</v>
      </c>
      <c r="T88" s="39" t="n">
        <f aca="false">MAX(0,ROUNDUP(Summary!$L$7*(G88+Summary!$L$13)-E88,0))</f>
        <v>19</v>
      </c>
      <c r="U88" s="39" t="n">
        <f aca="false">MAX(0,ROUNDUP(Summary!$L$8*(G88+Summary!$L$13)-E88,0))</f>
        <v>0</v>
      </c>
    </row>
    <row r="89" customFormat="false" ht="15" hidden="false" customHeight="false" outlineLevel="0" collapsed="false">
      <c r="A89" s="40" t="n">
        <v>84</v>
      </c>
      <c r="B89" s="40" t="s">
        <v>26</v>
      </c>
      <c r="C89" s="40" t="s">
        <v>273</v>
      </c>
      <c r="D89" s="41" t="s">
        <v>274</v>
      </c>
      <c r="E89" s="40" t="n">
        <v>254</v>
      </c>
      <c r="F89" s="40" t="n">
        <v>107</v>
      </c>
      <c r="G89" s="40" t="n">
        <v>361</v>
      </c>
      <c r="H89" s="36" t="n">
        <f aca="false">ROUND(E89/G89*100,0)/100</f>
        <v>0.7</v>
      </c>
      <c r="I89" s="12" t="str">
        <f aca="false">IF(H89&gt;=Summary!$L$6,"Eligible","Shortage")</f>
        <v>Shortage</v>
      </c>
      <c r="J89" s="12" t="str">
        <f aca="false">IF(H89&lt;Summary!$L$8,"YES","No")</f>
        <v>No</v>
      </c>
      <c r="K89" s="12" t="str">
        <f aca="false">IF(H89&gt;=Summary!$L$7,"Counted","Not Counted")</f>
        <v>Counted</v>
      </c>
      <c r="L89" s="17" t="n">
        <f aca="false">IF(H89&gt;=Summary!$L$6,20,ROUND(H89/Summary!$L$6*10,1)*2)</f>
        <v>18.6</v>
      </c>
      <c r="M89" s="37" t="n">
        <f aca="false">20-L89</f>
        <v>1.4</v>
      </c>
      <c r="N89" s="12" t="str">
        <f aca="false">IF(H89&gt;=Summary!$L$6,"75%+ (all benefits)",IF(H89&gt;=Summary!$L$7,"55-74%",IF(H89&gt;=Summary!$L$8,"30-54%","Below 30%")))</f>
        <v>55-74%</v>
      </c>
      <c r="O89" s="13" t="n">
        <f aca="false">(E89+Summary!$L$13)/(G89+Summary!$L$13)</f>
        <v>0.774261603375527</v>
      </c>
      <c r="P89" s="17" t="n">
        <f aca="false">IF(O89&gt;=Summary!$L$6,20,ROUND(O89/Summary!$L$6*10,1)*2)</f>
        <v>20</v>
      </c>
      <c r="Q89" s="38" t="n">
        <f aca="false">P89-L89</f>
        <v>1.4</v>
      </c>
      <c r="R89" s="12" t="str">
        <f aca="false">IF(O89&gt;=Summary!$L$6,"75%+ (all benefits)",IF(O89&gt;=Summary!$L$7,"55-74%",IF(O89&gt;=Summary!$L$8,"30-54%","Below 30%")))</f>
        <v>75%+ (all benefits)</v>
      </c>
      <c r="S89" s="39" t="n">
        <f aca="false">MAX(0,ROUNDUP(Summary!$L$6*(G89+Summary!$L$13)-E89,0))</f>
        <v>102</v>
      </c>
      <c r="T89" s="39" t="n">
        <f aca="false">MAX(0,ROUNDUP(Summary!$L$7*(G89+Summary!$L$13)-E89,0))</f>
        <v>7</v>
      </c>
      <c r="U89" s="39" t="n">
        <f aca="false">MAX(0,ROUNDUP(Summary!$L$8*(G89+Summary!$L$13)-E89,0))</f>
        <v>0</v>
      </c>
    </row>
    <row r="90" customFormat="false" ht="15" hidden="false" customHeight="false" outlineLevel="0" collapsed="false">
      <c r="A90" s="12" t="n">
        <v>85</v>
      </c>
      <c r="B90" s="12" t="s">
        <v>26</v>
      </c>
      <c r="C90" s="12" t="s">
        <v>275</v>
      </c>
      <c r="D90" s="32" t="s">
        <v>276</v>
      </c>
      <c r="E90" s="12" t="n">
        <v>150</v>
      </c>
      <c r="F90" s="12" t="n">
        <v>211</v>
      </c>
      <c r="G90" s="12" t="n">
        <v>361</v>
      </c>
      <c r="H90" s="36" t="n">
        <f aca="false">ROUND(E90/G90*100,0)/100</f>
        <v>0.42</v>
      </c>
      <c r="I90" s="12" t="str">
        <f aca="false">IF(H90&gt;=Summary!$L$6,"Eligible","Shortage")</f>
        <v>Shortage</v>
      </c>
      <c r="J90" s="12" t="str">
        <f aca="false">IF(H90&lt;Summary!$L$8,"YES","No")</f>
        <v>No</v>
      </c>
      <c r="K90" s="12" t="str">
        <f aca="false">IF(H90&gt;=Summary!$L$7,"Counted","Not Counted")</f>
        <v>Not Counted</v>
      </c>
      <c r="L90" s="17" t="n">
        <f aca="false">IF(H90&gt;=Summary!$L$6,20,ROUND(H90/Summary!$L$6*10,1)*2)</f>
        <v>11.2</v>
      </c>
      <c r="M90" s="37" t="n">
        <f aca="false">20-L90</f>
        <v>8.8</v>
      </c>
      <c r="N90" s="12" t="str">
        <f aca="false">IF(H90&gt;=Summary!$L$6,"75%+ (all benefits)",IF(H90&gt;=Summary!$L$7,"55-74%",IF(H90&gt;=Summary!$L$8,"30-54%","Below 30%")))</f>
        <v>30-54%</v>
      </c>
      <c r="O90" s="13" t="n">
        <f aca="false">(E90+Summary!$L$13)/(G90+Summary!$L$13)</f>
        <v>0.554852320675106</v>
      </c>
      <c r="P90" s="17" t="n">
        <f aca="false">IF(O90&gt;=Summary!$L$6,20,ROUND(O90/Summary!$L$6*10,1)*2)</f>
        <v>14.8</v>
      </c>
      <c r="Q90" s="38" t="n">
        <f aca="false">P90-L90</f>
        <v>3.6</v>
      </c>
      <c r="R90" s="12" t="str">
        <f aca="false">IF(O90&gt;=Summary!$L$6,"75%+ (all benefits)",IF(O90&gt;=Summary!$L$7,"55-74%",IF(O90&gt;=Summary!$L$8,"30-54%","Below 30%")))</f>
        <v>55-74%</v>
      </c>
      <c r="S90" s="39" t="n">
        <f aca="false">MAX(0,ROUNDUP(Summary!$L$6*(G90+Summary!$L$13)-E90,0))</f>
        <v>206</v>
      </c>
      <c r="T90" s="39" t="n">
        <f aca="false">MAX(0,ROUNDUP(Summary!$L$7*(G90+Summary!$L$13)-E90,0))</f>
        <v>111</v>
      </c>
      <c r="U90" s="39" t="n">
        <f aca="false">MAX(0,ROUNDUP(Summary!$L$8*(G90+Summary!$L$13)-E90,0))</f>
        <v>0</v>
      </c>
    </row>
    <row r="91" customFormat="false" ht="15" hidden="false" customHeight="false" outlineLevel="0" collapsed="false">
      <c r="A91" s="40" t="n">
        <v>86</v>
      </c>
      <c r="B91" s="40" t="s">
        <v>26</v>
      </c>
      <c r="C91" s="40" t="s">
        <v>277</v>
      </c>
      <c r="D91" s="41" t="s">
        <v>278</v>
      </c>
      <c r="E91" s="40" t="n">
        <v>285</v>
      </c>
      <c r="F91" s="40" t="n">
        <v>76</v>
      </c>
      <c r="G91" s="40" t="n">
        <v>361</v>
      </c>
      <c r="H91" s="36" t="n">
        <f aca="false">ROUND(E91/G91*100,0)/100</f>
        <v>0.79</v>
      </c>
      <c r="I91" s="12" t="str">
        <f aca="false">IF(H91&gt;=Summary!$L$6,"Eligible","Shortage")</f>
        <v>Eligible</v>
      </c>
      <c r="J91" s="12" t="str">
        <f aca="false">IF(H91&lt;Summary!$L$8,"YES","No")</f>
        <v>No</v>
      </c>
      <c r="K91" s="12" t="str">
        <f aca="false">IF(H91&gt;=Summary!$L$7,"Counted","Not Counted")</f>
        <v>Counted</v>
      </c>
      <c r="L91" s="17" t="n">
        <f aca="false">IF(H91&gt;=Summary!$L$6,20,ROUND(H91/Summary!$L$6*10,1)*2)</f>
        <v>20</v>
      </c>
      <c r="M91" s="37" t="n">
        <f aca="false">20-L91</f>
        <v>0</v>
      </c>
      <c r="N91" s="12" t="str">
        <f aca="false">IF(H91&gt;=Summary!$L$6,"75%+ (all benefits)",IF(H91&gt;=Summary!$L$7,"55-74%",IF(H91&gt;=Summary!$L$8,"30-54%","Below 30%")))</f>
        <v>75%+ (all benefits)</v>
      </c>
      <c r="O91" s="13" t="n">
        <f aca="false">(E91+Summary!$L$13)/(G91+Summary!$L$13)</f>
        <v>0.839662447257384</v>
      </c>
      <c r="P91" s="17" t="n">
        <f aca="false">IF(O91&gt;=Summary!$L$6,20,ROUND(O91/Summary!$L$6*10,1)*2)</f>
        <v>20</v>
      </c>
      <c r="Q91" s="38" t="n">
        <f aca="false">P91-L91</f>
        <v>0</v>
      </c>
      <c r="R91" s="12" t="str">
        <f aca="false">IF(O91&gt;=Summary!$L$6,"75%+ (all benefits)",IF(O91&gt;=Summary!$L$7,"55-74%",IF(O91&gt;=Summary!$L$8,"30-54%","Below 30%")))</f>
        <v>75%+ (all benefits)</v>
      </c>
      <c r="S91" s="39" t="n">
        <f aca="false">MAX(0,ROUNDUP(Summary!$L$6*(G91+Summary!$L$13)-E91,0))</f>
        <v>71</v>
      </c>
      <c r="T91" s="39" t="n">
        <f aca="false">MAX(0,ROUNDUP(Summary!$L$7*(G91+Summary!$L$13)-E91,0))</f>
        <v>0</v>
      </c>
      <c r="U91" s="39" t="n">
        <f aca="false">MAX(0,ROUNDUP(Summary!$L$8*(G91+Summary!$L$13)-E91,0))</f>
        <v>0</v>
      </c>
    </row>
    <row r="92" customFormat="false" ht="15" hidden="false" customHeight="false" outlineLevel="0" collapsed="false">
      <c r="A92" s="12" t="n">
        <v>87</v>
      </c>
      <c r="B92" s="12" t="s">
        <v>26</v>
      </c>
      <c r="C92" s="12" t="s">
        <v>279</v>
      </c>
      <c r="D92" s="32" t="s">
        <v>280</v>
      </c>
      <c r="E92" s="12" t="n">
        <v>234</v>
      </c>
      <c r="F92" s="12" t="n">
        <v>127</v>
      </c>
      <c r="G92" s="12" t="n">
        <v>361</v>
      </c>
      <c r="H92" s="36" t="n">
        <f aca="false">ROUND(E92/G92*100,0)/100</f>
        <v>0.65</v>
      </c>
      <c r="I92" s="12" t="str">
        <f aca="false">IF(H92&gt;=Summary!$L$6,"Eligible","Shortage")</f>
        <v>Shortage</v>
      </c>
      <c r="J92" s="12" t="str">
        <f aca="false">IF(H92&lt;Summary!$L$8,"YES","No")</f>
        <v>No</v>
      </c>
      <c r="K92" s="12" t="str">
        <f aca="false">IF(H92&gt;=Summary!$L$7,"Counted","Not Counted")</f>
        <v>Counted</v>
      </c>
      <c r="L92" s="17" t="n">
        <f aca="false">IF(H92&gt;=Summary!$L$6,20,ROUND(H92/Summary!$L$6*10,1)*2)</f>
        <v>17.4</v>
      </c>
      <c r="M92" s="37" t="n">
        <f aca="false">20-L92</f>
        <v>2.6</v>
      </c>
      <c r="N92" s="12" t="str">
        <f aca="false">IF(H92&gt;=Summary!$L$6,"75%+ (all benefits)",IF(H92&gt;=Summary!$L$7,"55-74%",IF(H92&gt;=Summary!$L$8,"30-54%","Below 30%")))</f>
        <v>55-74%</v>
      </c>
      <c r="O92" s="13" t="n">
        <f aca="false">(E92+Summary!$L$13)/(G92+Summary!$L$13)</f>
        <v>0.732067510548523</v>
      </c>
      <c r="P92" s="17" t="n">
        <f aca="false">IF(O92&gt;=Summary!$L$6,20,ROUND(O92/Summary!$L$6*10,1)*2)</f>
        <v>19.6</v>
      </c>
      <c r="Q92" s="38" t="n">
        <f aca="false">P92-L92</f>
        <v>2.2</v>
      </c>
      <c r="R92" s="12" t="str">
        <f aca="false">IF(O92&gt;=Summary!$L$6,"75%+ (all benefits)",IF(O92&gt;=Summary!$L$7,"55-74%",IF(O92&gt;=Summary!$L$8,"30-54%","Below 30%")))</f>
        <v>55-74%</v>
      </c>
      <c r="S92" s="39" t="n">
        <f aca="false">MAX(0,ROUNDUP(Summary!$L$6*(G92+Summary!$L$13)-E92,0))</f>
        <v>122</v>
      </c>
      <c r="T92" s="39" t="n">
        <f aca="false">MAX(0,ROUNDUP(Summary!$L$7*(G92+Summary!$L$13)-E92,0))</f>
        <v>27</v>
      </c>
      <c r="U92" s="39" t="n">
        <f aca="false">MAX(0,ROUNDUP(Summary!$L$8*(G92+Summary!$L$13)-E92,0))</f>
        <v>0</v>
      </c>
    </row>
    <row r="93" customFormat="false" ht="15" hidden="false" customHeight="false" outlineLevel="0" collapsed="false">
      <c r="A93" s="40" t="n">
        <v>88</v>
      </c>
      <c r="B93" s="40" t="s">
        <v>26</v>
      </c>
      <c r="C93" s="40" t="s">
        <v>281</v>
      </c>
      <c r="D93" s="41" t="s">
        <v>282</v>
      </c>
      <c r="E93" s="40" t="n">
        <v>228</v>
      </c>
      <c r="F93" s="40" t="n">
        <v>133</v>
      </c>
      <c r="G93" s="40" t="n">
        <v>361</v>
      </c>
      <c r="H93" s="36" t="n">
        <f aca="false">ROUND(E93/G93*100,0)/100</f>
        <v>0.63</v>
      </c>
      <c r="I93" s="12" t="str">
        <f aca="false">IF(H93&gt;=Summary!$L$6,"Eligible","Shortage")</f>
        <v>Shortage</v>
      </c>
      <c r="J93" s="12" t="str">
        <f aca="false">IF(H93&lt;Summary!$L$8,"YES","No")</f>
        <v>No</v>
      </c>
      <c r="K93" s="12" t="str">
        <f aca="false">IF(H93&gt;=Summary!$L$7,"Counted","Not Counted")</f>
        <v>Counted</v>
      </c>
      <c r="L93" s="17" t="n">
        <f aca="false">IF(H93&gt;=Summary!$L$6,20,ROUND(H93/Summary!$L$6*10,1)*2)</f>
        <v>16.8</v>
      </c>
      <c r="M93" s="37" t="n">
        <f aca="false">20-L93</f>
        <v>3.2</v>
      </c>
      <c r="N93" s="12" t="str">
        <f aca="false">IF(H93&gt;=Summary!$L$6,"75%+ (all benefits)",IF(H93&gt;=Summary!$L$7,"55-74%",IF(H93&gt;=Summary!$L$8,"30-54%","Below 30%")))</f>
        <v>55-74%</v>
      </c>
      <c r="O93" s="13" t="n">
        <f aca="false">(E93+Summary!$L$13)/(G93+Summary!$L$13)</f>
        <v>0.719409282700422</v>
      </c>
      <c r="P93" s="17" t="n">
        <f aca="false">IF(O93&gt;=Summary!$L$6,20,ROUND(O93/Summary!$L$6*10,1)*2)</f>
        <v>19.2</v>
      </c>
      <c r="Q93" s="38" t="n">
        <f aca="false">P93-L93</f>
        <v>2.4</v>
      </c>
      <c r="R93" s="12" t="str">
        <f aca="false">IF(O93&gt;=Summary!$L$6,"75%+ (all benefits)",IF(O93&gt;=Summary!$L$7,"55-74%",IF(O93&gt;=Summary!$L$8,"30-54%","Below 30%")))</f>
        <v>55-74%</v>
      </c>
      <c r="S93" s="39" t="n">
        <f aca="false">MAX(0,ROUNDUP(Summary!$L$6*(G93+Summary!$L$13)-E93,0))</f>
        <v>128</v>
      </c>
      <c r="T93" s="39" t="n">
        <f aca="false">MAX(0,ROUNDUP(Summary!$L$7*(G93+Summary!$L$13)-E93,0))</f>
        <v>33</v>
      </c>
      <c r="U93" s="39" t="n">
        <f aca="false">MAX(0,ROUNDUP(Summary!$L$8*(G93+Summary!$L$13)-E93,0))</f>
        <v>0</v>
      </c>
    </row>
    <row r="94" customFormat="false" ht="15" hidden="false" customHeight="false" outlineLevel="0" collapsed="false">
      <c r="A94" s="12" t="n">
        <v>89</v>
      </c>
      <c r="B94" s="12" t="s">
        <v>26</v>
      </c>
      <c r="C94" s="12" t="s">
        <v>283</v>
      </c>
      <c r="D94" s="32" t="s">
        <v>284</v>
      </c>
      <c r="E94" s="12" t="n">
        <v>266</v>
      </c>
      <c r="F94" s="12" t="n">
        <v>95</v>
      </c>
      <c r="G94" s="12" t="n">
        <v>361</v>
      </c>
      <c r="H94" s="36" t="n">
        <f aca="false">ROUND(E94/G94*100,0)/100</f>
        <v>0.74</v>
      </c>
      <c r="I94" s="12" t="str">
        <f aca="false">IF(H94&gt;=Summary!$L$6,"Eligible","Shortage")</f>
        <v>Shortage</v>
      </c>
      <c r="J94" s="12" t="str">
        <f aca="false">IF(H94&lt;Summary!$L$8,"YES","No")</f>
        <v>No</v>
      </c>
      <c r="K94" s="12" t="str">
        <f aca="false">IF(H94&gt;=Summary!$L$7,"Counted","Not Counted")</f>
        <v>Counted</v>
      </c>
      <c r="L94" s="17" t="n">
        <f aca="false">IF(H94&gt;=Summary!$L$6,20,ROUND(H94/Summary!$L$6*10,1)*2)</f>
        <v>19.8</v>
      </c>
      <c r="M94" s="37" t="n">
        <f aca="false">20-L94</f>
        <v>0.199999999999999</v>
      </c>
      <c r="N94" s="12" t="str">
        <f aca="false">IF(H94&gt;=Summary!$L$6,"75%+ (all benefits)",IF(H94&gt;=Summary!$L$7,"55-74%",IF(H94&gt;=Summary!$L$8,"30-54%","Below 30%")))</f>
        <v>55-74%</v>
      </c>
      <c r="O94" s="13" t="n">
        <f aca="false">(E94+Summary!$L$13)/(G94+Summary!$L$13)</f>
        <v>0.79957805907173</v>
      </c>
      <c r="P94" s="17" t="n">
        <f aca="false">IF(O94&gt;=Summary!$L$6,20,ROUND(O94/Summary!$L$6*10,1)*2)</f>
        <v>20</v>
      </c>
      <c r="Q94" s="38" t="n">
        <f aca="false">P94-L94</f>
        <v>0.199999999999999</v>
      </c>
      <c r="R94" s="12" t="str">
        <f aca="false">IF(O94&gt;=Summary!$L$6,"75%+ (all benefits)",IF(O94&gt;=Summary!$L$7,"55-74%",IF(O94&gt;=Summary!$L$8,"30-54%","Below 30%")))</f>
        <v>75%+ (all benefits)</v>
      </c>
      <c r="S94" s="39" t="n">
        <f aca="false">MAX(0,ROUNDUP(Summary!$L$6*(G94+Summary!$L$13)-E94,0))</f>
        <v>90</v>
      </c>
      <c r="T94" s="39" t="n">
        <f aca="false">MAX(0,ROUNDUP(Summary!$L$7*(G94+Summary!$L$13)-E94,0))</f>
        <v>0</v>
      </c>
      <c r="U94" s="39" t="n">
        <f aca="false">MAX(0,ROUNDUP(Summary!$L$8*(G94+Summary!$L$13)-E94,0))</f>
        <v>0</v>
      </c>
    </row>
    <row r="95" customFormat="false" ht="15" hidden="false" customHeight="false" outlineLevel="0" collapsed="false">
      <c r="A95" s="40" t="n">
        <v>90</v>
      </c>
      <c r="B95" s="40" t="s">
        <v>26</v>
      </c>
      <c r="C95" s="40" t="s">
        <v>285</v>
      </c>
      <c r="D95" s="41" t="s">
        <v>286</v>
      </c>
      <c r="E95" s="40" t="n">
        <v>166</v>
      </c>
      <c r="F95" s="40" t="n">
        <v>195</v>
      </c>
      <c r="G95" s="40" t="n">
        <v>361</v>
      </c>
      <c r="H95" s="36" t="n">
        <f aca="false">ROUND(E95/G95*100,0)/100</f>
        <v>0.46</v>
      </c>
      <c r="I95" s="12" t="str">
        <f aca="false">IF(H95&gt;=Summary!$L$6,"Eligible","Shortage")</f>
        <v>Shortage</v>
      </c>
      <c r="J95" s="12" t="str">
        <f aca="false">IF(H95&lt;Summary!$L$8,"YES","No")</f>
        <v>No</v>
      </c>
      <c r="K95" s="12" t="str">
        <f aca="false">IF(H95&gt;=Summary!$L$7,"Counted","Not Counted")</f>
        <v>Not Counted</v>
      </c>
      <c r="L95" s="17" t="n">
        <f aca="false">IF(H95&gt;=Summary!$L$6,20,ROUND(H95/Summary!$L$6*10,1)*2)</f>
        <v>12.2</v>
      </c>
      <c r="M95" s="37" t="n">
        <f aca="false">20-L95</f>
        <v>7.8</v>
      </c>
      <c r="N95" s="12" t="str">
        <f aca="false">IF(H95&gt;=Summary!$L$6,"75%+ (all benefits)",IF(H95&gt;=Summary!$L$7,"55-74%",IF(H95&gt;=Summary!$L$8,"30-54%","Below 30%")))</f>
        <v>30-54%</v>
      </c>
      <c r="O95" s="13" t="n">
        <f aca="false">(E95+Summary!$L$13)/(G95+Summary!$L$13)</f>
        <v>0.588607594936709</v>
      </c>
      <c r="P95" s="17" t="n">
        <f aca="false">IF(O95&gt;=Summary!$L$6,20,ROUND(O95/Summary!$L$6*10,1)*2)</f>
        <v>15.6</v>
      </c>
      <c r="Q95" s="38" t="n">
        <f aca="false">P95-L95</f>
        <v>3.4</v>
      </c>
      <c r="R95" s="12" t="str">
        <f aca="false">IF(O95&gt;=Summary!$L$6,"75%+ (all benefits)",IF(O95&gt;=Summary!$L$7,"55-74%",IF(O95&gt;=Summary!$L$8,"30-54%","Below 30%")))</f>
        <v>55-74%</v>
      </c>
      <c r="S95" s="39" t="n">
        <f aca="false">MAX(0,ROUNDUP(Summary!$L$6*(G95+Summary!$L$13)-E95,0))</f>
        <v>190</v>
      </c>
      <c r="T95" s="39" t="n">
        <f aca="false">MAX(0,ROUNDUP(Summary!$L$7*(G95+Summary!$L$13)-E95,0))</f>
        <v>95</v>
      </c>
      <c r="U95" s="39" t="n">
        <f aca="false">MAX(0,ROUNDUP(Summary!$L$8*(G95+Summary!$L$13)-E95,0))</f>
        <v>0</v>
      </c>
    </row>
    <row r="96" customFormat="false" ht="15" hidden="false" customHeight="false" outlineLevel="0" collapsed="false">
      <c r="A96" s="12" t="n">
        <v>91</v>
      </c>
      <c r="B96" s="12" t="s">
        <v>26</v>
      </c>
      <c r="C96" s="12" t="s">
        <v>287</v>
      </c>
      <c r="D96" s="32" t="s">
        <v>288</v>
      </c>
      <c r="E96" s="12" t="n">
        <v>239</v>
      </c>
      <c r="F96" s="12" t="n">
        <v>122</v>
      </c>
      <c r="G96" s="12" t="n">
        <v>361</v>
      </c>
      <c r="H96" s="36" t="n">
        <f aca="false">ROUND(E96/G96*100,0)/100</f>
        <v>0.66</v>
      </c>
      <c r="I96" s="12" t="str">
        <f aca="false">IF(H96&gt;=Summary!$L$6,"Eligible","Shortage")</f>
        <v>Shortage</v>
      </c>
      <c r="J96" s="12" t="str">
        <f aca="false">IF(H96&lt;Summary!$L$8,"YES","No")</f>
        <v>No</v>
      </c>
      <c r="K96" s="12" t="str">
        <f aca="false">IF(H96&gt;=Summary!$L$7,"Counted","Not Counted")</f>
        <v>Counted</v>
      </c>
      <c r="L96" s="17" t="n">
        <f aca="false">IF(H96&gt;=Summary!$L$6,20,ROUND(H96/Summary!$L$6*10,1)*2)</f>
        <v>17.6</v>
      </c>
      <c r="M96" s="37" t="n">
        <f aca="false">20-L96</f>
        <v>2.4</v>
      </c>
      <c r="N96" s="12" t="str">
        <f aca="false">IF(H96&gt;=Summary!$L$6,"75%+ (all benefits)",IF(H96&gt;=Summary!$L$7,"55-74%",IF(H96&gt;=Summary!$L$8,"30-54%","Below 30%")))</f>
        <v>55-74%</v>
      </c>
      <c r="O96" s="13" t="n">
        <f aca="false">(E96+Summary!$L$13)/(G96+Summary!$L$13)</f>
        <v>0.742616033755274</v>
      </c>
      <c r="P96" s="17" t="n">
        <f aca="false">IF(O96&gt;=Summary!$L$6,20,ROUND(O96/Summary!$L$6*10,1)*2)</f>
        <v>19.8</v>
      </c>
      <c r="Q96" s="38" t="n">
        <f aca="false">P96-L96</f>
        <v>2.2</v>
      </c>
      <c r="R96" s="12" t="str">
        <f aca="false">IF(O96&gt;=Summary!$L$6,"75%+ (all benefits)",IF(O96&gt;=Summary!$L$7,"55-74%",IF(O96&gt;=Summary!$L$8,"30-54%","Below 30%")))</f>
        <v>55-74%</v>
      </c>
      <c r="S96" s="39" t="n">
        <f aca="false">MAX(0,ROUNDUP(Summary!$L$6*(G96+Summary!$L$13)-E96,0))</f>
        <v>117</v>
      </c>
      <c r="T96" s="39" t="n">
        <f aca="false">MAX(0,ROUNDUP(Summary!$L$7*(G96+Summary!$L$13)-E96,0))</f>
        <v>22</v>
      </c>
      <c r="U96" s="39" t="n">
        <f aca="false">MAX(0,ROUNDUP(Summary!$L$8*(G96+Summary!$L$13)-E96,0))</f>
        <v>0</v>
      </c>
    </row>
    <row r="97" customFormat="false" ht="15" hidden="false" customHeight="false" outlineLevel="0" collapsed="false">
      <c r="A97" s="40" t="n">
        <v>92</v>
      </c>
      <c r="B97" s="40" t="s">
        <v>26</v>
      </c>
      <c r="C97" s="40" t="s">
        <v>289</v>
      </c>
      <c r="D97" s="41" t="s">
        <v>290</v>
      </c>
      <c r="E97" s="40" t="n">
        <v>246</v>
      </c>
      <c r="F97" s="40" t="n">
        <v>115</v>
      </c>
      <c r="G97" s="40" t="n">
        <v>361</v>
      </c>
      <c r="H97" s="36" t="n">
        <f aca="false">ROUND(E97/G97*100,0)/100</f>
        <v>0.68</v>
      </c>
      <c r="I97" s="12" t="str">
        <f aca="false">IF(H97&gt;=Summary!$L$6,"Eligible","Shortage")</f>
        <v>Shortage</v>
      </c>
      <c r="J97" s="12" t="str">
        <f aca="false">IF(H97&lt;Summary!$L$8,"YES","No")</f>
        <v>No</v>
      </c>
      <c r="K97" s="12" t="str">
        <f aca="false">IF(H97&gt;=Summary!$L$7,"Counted","Not Counted")</f>
        <v>Counted</v>
      </c>
      <c r="L97" s="17" t="n">
        <f aca="false">IF(H97&gt;=Summary!$L$6,20,ROUND(H97/Summary!$L$6*10,1)*2)</f>
        <v>18.2</v>
      </c>
      <c r="M97" s="37" t="n">
        <f aca="false">20-L97</f>
        <v>1.8</v>
      </c>
      <c r="N97" s="12" t="str">
        <f aca="false">IF(H97&gt;=Summary!$L$6,"75%+ (all benefits)",IF(H97&gt;=Summary!$L$7,"55-74%",IF(H97&gt;=Summary!$L$8,"30-54%","Below 30%")))</f>
        <v>55-74%</v>
      </c>
      <c r="O97" s="13" t="n">
        <f aca="false">(E97+Summary!$L$13)/(G97+Summary!$L$13)</f>
        <v>0.757383966244726</v>
      </c>
      <c r="P97" s="17" t="n">
        <f aca="false">IF(O97&gt;=Summary!$L$6,20,ROUND(O97/Summary!$L$6*10,1)*2)</f>
        <v>20</v>
      </c>
      <c r="Q97" s="38" t="n">
        <f aca="false">P97-L97</f>
        <v>1.8</v>
      </c>
      <c r="R97" s="12" t="str">
        <f aca="false">IF(O97&gt;=Summary!$L$6,"75%+ (all benefits)",IF(O97&gt;=Summary!$L$7,"55-74%",IF(O97&gt;=Summary!$L$8,"30-54%","Below 30%")))</f>
        <v>75%+ (all benefits)</v>
      </c>
      <c r="S97" s="39" t="n">
        <f aca="false">MAX(0,ROUNDUP(Summary!$L$6*(G97+Summary!$L$13)-E97,0))</f>
        <v>110</v>
      </c>
      <c r="T97" s="39" t="n">
        <f aca="false">MAX(0,ROUNDUP(Summary!$L$7*(G97+Summary!$L$13)-E97,0))</f>
        <v>15</v>
      </c>
      <c r="U97" s="39" t="n">
        <f aca="false">MAX(0,ROUNDUP(Summary!$L$8*(G97+Summary!$L$13)-E97,0))</f>
        <v>0</v>
      </c>
    </row>
    <row r="98" customFormat="false" ht="15" hidden="false" customHeight="false" outlineLevel="0" collapsed="false">
      <c r="A98" s="12" t="n">
        <v>93</v>
      </c>
      <c r="B98" s="12" t="s">
        <v>26</v>
      </c>
      <c r="C98" s="12" t="s">
        <v>291</v>
      </c>
      <c r="D98" s="32" t="s">
        <v>292</v>
      </c>
      <c r="E98" s="12" t="n">
        <v>296</v>
      </c>
      <c r="F98" s="12" t="n">
        <v>65</v>
      </c>
      <c r="G98" s="12" t="n">
        <v>361</v>
      </c>
      <c r="H98" s="36" t="n">
        <f aca="false">ROUND(E98/G98*100,0)/100</f>
        <v>0.82</v>
      </c>
      <c r="I98" s="12" t="str">
        <f aca="false">IF(H98&gt;=Summary!$L$6,"Eligible","Shortage")</f>
        <v>Eligible</v>
      </c>
      <c r="J98" s="12" t="str">
        <f aca="false">IF(H98&lt;Summary!$L$8,"YES","No")</f>
        <v>No</v>
      </c>
      <c r="K98" s="12" t="str">
        <f aca="false">IF(H98&gt;=Summary!$L$7,"Counted","Not Counted")</f>
        <v>Counted</v>
      </c>
      <c r="L98" s="17" t="n">
        <f aca="false">IF(H98&gt;=Summary!$L$6,20,ROUND(H98/Summary!$L$6*10,1)*2)</f>
        <v>20</v>
      </c>
      <c r="M98" s="37" t="n">
        <f aca="false">20-L98</f>
        <v>0</v>
      </c>
      <c r="N98" s="12" t="str">
        <f aca="false">IF(H98&gt;=Summary!$L$6,"75%+ (all benefits)",IF(H98&gt;=Summary!$L$7,"55-74%",IF(H98&gt;=Summary!$L$8,"30-54%","Below 30%")))</f>
        <v>75%+ (all benefits)</v>
      </c>
      <c r="O98" s="13" t="n">
        <f aca="false">(E98+Summary!$L$13)/(G98+Summary!$L$13)</f>
        <v>0.862869198312236</v>
      </c>
      <c r="P98" s="17" t="n">
        <f aca="false">IF(O98&gt;=Summary!$L$6,20,ROUND(O98/Summary!$L$6*10,1)*2)</f>
        <v>20</v>
      </c>
      <c r="Q98" s="38" t="n">
        <f aca="false">P98-L98</f>
        <v>0</v>
      </c>
      <c r="R98" s="12" t="str">
        <f aca="false">IF(O98&gt;=Summary!$L$6,"75%+ (all benefits)",IF(O98&gt;=Summary!$L$7,"55-74%",IF(O98&gt;=Summary!$L$8,"30-54%","Below 30%")))</f>
        <v>75%+ (all benefits)</v>
      </c>
      <c r="S98" s="39" t="n">
        <f aca="false">MAX(0,ROUNDUP(Summary!$L$6*(G98+Summary!$L$13)-E98,0))</f>
        <v>60</v>
      </c>
      <c r="T98" s="39" t="n">
        <f aca="false">MAX(0,ROUNDUP(Summary!$L$7*(G98+Summary!$L$13)-E98,0))</f>
        <v>0</v>
      </c>
      <c r="U98" s="39" t="n">
        <f aca="false">MAX(0,ROUNDUP(Summary!$L$8*(G98+Summary!$L$13)-E98,0))</f>
        <v>0</v>
      </c>
    </row>
    <row r="99" customFormat="false" ht="15" hidden="false" customHeight="false" outlineLevel="0" collapsed="false">
      <c r="A99" s="40" t="n">
        <v>94</v>
      </c>
      <c r="B99" s="40" t="s">
        <v>26</v>
      </c>
      <c r="C99" s="40" t="s">
        <v>293</v>
      </c>
      <c r="D99" s="41" t="s">
        <v>294</v>
      </c>
      <c r="E99" s="40" t="n">
        <v>220</v>
      </c>
      <c r="F99" s="40" t="n">
        <v>141</v>
      </c>
      <c r="G99" s="40" t="n">
        <v>361</v>
      </c>
      <c r="H99" s="36" t="n">
        <f aca="false">ROUND(E99/G99*100,0)/100</f>
        <v>0.61</v>
      </c>
      <c r="I99" s="12" t="str">
        <f aca="false">IF(H99&gt;=Summary!$L$6,"Eligible","Shortage")</f>
        <v>Shortage</v>
      </c>
      <c r="J99" s="12" t="str">
        <f aca="false">IF(H99&lt;Summary!$L$8,"YES","No")</f>
        <v>No</v>
      </c>
      <c r="K99" s="12" t="str">
        <f aca="false">IF(H99&gt;=Summary!$L$7,"Counted","Not Counted")</f>
        <v>Counted</v>
      </c>
      <c r="L99" s="17" t="n">
        <f aca="false">IF(H99&gt;=Summary!$L$6,20,ROUND(H99/Summary!$L$6*10,1)*2)</f>
        <v>16.2</v>
      </c>
      <c r="M99" s="37" t="n">
        <f aca="false">20-L99</f>
        <v>3.8</v>
      </c>
      <c r="N99" s="12" t="str">
        <f aca="false">IF(H99&gt;=Summary!$L$6,"75%+ (all benefits)",IF(H99&gt;=Summary!$L$7,"55-74%",IF(H99&gt;=Summary!$L$8,"30-54%","Below 30%")))</f>
        <v>55-74%</v>
      </c>
      <c r="O99" s="13" t="n">
        <f aca="false">(E99+Summary!$L$13)/(G99+Summary!$L$13)</f>
        <v>0.70253164556962</v>
      </c>
      <c r="P99" s="17" t="n">
        <f aca="false">IF(O99&gt;=Summary!$L$6,20,ROUND(O99/Summary!$L$6*10,1)*2)</f>
        <v>18.8</v>
      </c>
      <c r="Q99" s="38" t="n">
        <f aca="false">P99-L99</f>
        <v>2.6</v>
      </c>
      <c r="R99" s="12" t="str">
        <f aca="false">IF(O99&gt;=Summary!$L$6,"75%+ (all benefits)",IF(O99&gt;=Summary!$L$7,"55-74%",IF(O99&gt;=Summary!$L$8,"30-54%","Below 30%")))</f>
        <v>55-74%</v>
      </c>
      <c r="S99" s="39" t="n">
        <f aca="false">MAX(0,ROUNDUP(Summary!$L$6*(G99+Summary!$L$13)-E99,0))</f>
        <v>136</v>
      </c>
      <c r="T99" s="39" t="n">
        <f aca="false">MAX(0,ROUNDUP(Summary!$L$7*(G99+Summary!$L$13)-E99,0))</f>
        <v>41</v>
      </c>
      <c r="U99" s="39" t="n">
        <f aca="false">MAX(0,ROUNDUP(Summary!$L$8*(G99+Summary!$L$13)-E99,0))</f>
        <v>0</v>
      </c>
    </row>
    <row r="100" customFormat="false" ht="15" hidden="false" customHeight="false" outlineLevel="0" collapsed="false">
      <c r="A100" s="12" t="n">
        <v>95</v>
      </c>
      <c r="B100" s="12" t="s">
        <v>26</v>
      </c>
      <c r="C100" s="12" t="s">
        <v>295</v>
      </c>
      <c r="D100" s="32" t="s">
        <v>296</v>
      </c>
      <c r="E100" s="12" t="n">
        <v>276</v>
      </c>
      <c r="F100" s="12" t="n">
        <v>85</v>
      </c>
      <c r="G100" s="12" t="n">
        <v>361</v>
      </c>
      <c r="H100" s="36" t="n">
        <f aca="false">ROUND(E100/G100*100,0)/100</f>
        <v>0.76</v>
      </c>
      <c r="I100" s="12" t="str">
        <f aca="false">IF(H100&gt;=Summary!$L$6,"Eligible","Shortage")</f>
        <v>Eligible</v>
      </c>
      <c r="J100" s="12" t="str">
        <f aca="false">IF(H100&lt;Summary!$L$8,"YES","No")</f>
        <v>No</v>
      </c>
      <c r="K100" s="12" t="str">
        <f aca="false">IF(H100&gt;=Summary!$L$7,"Counted","Not Counted")</f>
        <v>Counted</v>
      </c>
      <c r="L100" s="17" t="n">
        <f aca="false">IF(H100&gt;=Summary!$L$6,20,ROUND(H100/Summary!$L$6*10,1)*2)</f>
        <v>20</v>
      </c>
      <c r="M100" s="37" t="n">
        <f aca="false">20-L100</f>
        <v>0</v>
      </c>
      <c r="N100" s="12" t="str">
        <f aca="false">IF(H100&gt;=Summary!$L$6,"75%+ (all benefits)",IF(H100&gt;=Summary!$L$7,"55-74%",IF(H100&gt;=Summary!$L$8,"30-54%","Below 30%")))</f>
        <v>75%+ (all benefits)</v>
      </c>
      <c r="O100" s="13" t="n">
        <f aca="false">(E100+Summary!$L$13)/(G100+Summary!$L$13)</f>
        <v>0.820675105485232</v>
      </c>
      <c r="P100" s="17" t="n">
        <f aca="false">IF(O100&gt;=Summary!$L$6,20,ROUND(O100/Summary!$L$6*10,1)*2)</f>
        <v>20</v>
      </c>
      <c r="Q100" s="38" t="n">
        <f aca="false">P100-L100</f>
        <v>0</v>
      </c>
      <c r="R100" s="12" t="str">
        <f aca="false">IF(O100&gt;=Summary!$L$6,"75%+ (all benefits)",IF(O100&gt;=Summary!$L$7,"55-74%",IF(O100&gt;=Summary!$L$8,"30-54%","Below 30%")))</f>
        <v>75%+ (all benefits)</v>
      </c>
      <c r="S100" s="39" t="n">
        <f aca="false">MAX(0,ROUNDUP(Summary!$L$6*(G100+Summary!$L$13)-E100,0))</f>
        <v>80</v>
      </c>
      <c r="T100" s="39" t="n">
        <f aca="false">MAX(0,ROUNDUP(Summary!$L$7*(G100+Summary!$L$13)-E100,0))</f>
        <v>0</v>
      </c>
      <c r="U100" s="39" t="n">
        <f aca="false">MAX(0,ROUNDUP(Summary!$L$8*(G100+Summary!$L$13)-E100,0))</f>
        <v>0</v>
      </c>
    </row>
    <row r="101" customFormat="false" ht="15" hidden="false" customHeight="false" outlineLevel="0" collapsed="false">
      <c r="A101" s="40" t="n">
        <v>96</v>
      </c>
      <c r="B101" s="40" t="s">
        <v>26</v>
      </c>
      <c r="C101" s="40" t="s">
        <v>297</v>
      </c>
      <c r="D101" s="41" t="s">
        <v>298</v>
      </c>
      <c r="E101" s="40" t="n">
        <v>233</v>
      </c>
      <c r="F101" s="40" t="n">
        <v>128</v>
      </c>
      <c r="G101" s="40" t="n">
        <v>361</v>
      </c>
      <c r="H101" s="36" t="n">
        <f aca="false">ROUND(E101/G101*100,0)/100</f>
        <v>0.65</v>
      </c>
      <c r="I101" s="12" t="str">
        <f aca="false">IF(H101&gt;=Summary!$L$6,"Eligible","Shortage")</f>
        <v>Shortage</v>
      </c>
      <c r="J101" s="12" t="str">
        <f aca="false">IF(H101&lt;Summary!$L$8,"YES","No")</f>
        <v>No</v>
      </c>
      <c r="K101" s="12" t="str">
        <f aca="false">IF(H101&gt;=Summary!$L$7,"Counted","Not Counted")</f>
        <v>Counted</v>
      </c>
      <c r="L101" s="17" t="n">
        <f aca="false">IF(H101&gt;=Summary!$L$6,20,ROUND(H101/Summary!$L$6*10,1)*2)</f>
        <v>17.4</v>
      </c>
      <c r="M101" s="37" t="n">
        <f aca="false">20-L101</f>
        <v>2.6</v>
      </c>
      <c r="N101" s="12" t="str">
        <f aca="false">IF(H101&gt;=Summary!$L$6,"75%+ (all benefits)",IF(H101&gt;=Summary!$L$7,"55-74%",IF(H101&gt;=Summary!$L$8,"30-54%","Below 30%")))</f>
        <v>55-74%</v>
      </c>
      <c r="O101" s="13" t="n">
        <f aca="false">(E101+Summary!$L$13)/(G101+Summary!$L$13)</f>
        <v>0.729957805907173</v>
      </c>
      <c r="P101" s="17" t="n">
        <f aca="false">IF(O101&gt;=Summary!$L$6,20,ROUND(O101/Summary!$L$6*10,1)*2)</f>
        <v>19.4</v>
      </c>
      <c r="Q101" s="38" t="n">
        <f aca="false">P101-L101</f>
        <v>2</v>
      </c>
      <c r="R101" s="12" t="str">
        <f aca="false">IF(O101&gt;=Summary!$L$6,"75%+ (all benefits)",IF(O101&gt;=Summary!$L$7,"55-74%",IF(O101&gt;=Summary!$L$8,"30-54%","Below 30%")))</f>
        <v>55-74%</v>
      </c>
      <c r="S101" s="39" t="n">
        <f aca="false">MAX(0,ROUNDUP(Summary!$L$6*(G101+Summary!$L$13)-E101,0))</f>
        <v>123</v>
      </c>
      <c r="T101" s="39" t="n">
        <f aca="false">MAX(0,ROUNDUP(Summary!$L$7*(G101+Summary!$L$13)-E101,0))</f>
        <v>28</v>
      </c>
      <c r="U101" s="39" t="n">
        <f aca="false">MAX(0,ROUNDUP(Summary!$L$8*(G101+Summary!$L$13)-E101,0))</f>
        <v>0</v>
      </c>
    </row>
    <row r="102" customFormat="false" ht="15" hidden="false" customHeight="false" outlineLevel="0" collapsed="false">
      <c r="A102" s="12" t="n">
        <v>97</v>
      </c>
      <c r="B102" s="12" t="s">
        <v>26</v>
      </c>
      <c r="C102" s="12" t="s">
        <v>299</v>
      </c>
      <c r="D102" s="32" t="s">
        <v>300</v>
      </c>
      <c r="E102" s="12" t="n">
        <v>230</v>
      </c>
      <c r="F102" s="12" t="n">
        <v>131</v>
      </c>
      <c r="G102" s="12" t="n">
        <v>361</v>
      </c>
      <c r="H102" s="36" t="n">
        <f aca="false">ROUND(E102/G102*100,0)/100</f>
        <v>0.64</v>
      </c>
      <c r="I102" s="12" t="str">
        <f aca="false">IF(H102&gt;=Summary!$L$6,"Eligible","Shortage")</f>
        <v>Shortage</v>
      </c>
      <c r="J102" s="12" t="str">
        <f aca="false">IF(H102&lt;Summary!$L$8,"YES","No")</f>
        <v>No</v>
      </c>
      <c r="K102" s="12" t="str">
        <f aca="false">IF(H102&gt;=Summary!$L$7,"Counted","Not Counted")</f>
        <v>Counted</v>
      </c>
      <c r="L102" s="17" t="n">
        <f aca="false">IF(H102&gt;=Summary!$L$6,20,ROUND(H102/Summary!$L$6*10,1)*2)</f>
        <v>17</v>
      </c>
      <c r="M102" s="37" t="n">
        <f aca="false">20-L102</f>
        <v>3</v>
      </c>
      <c r="N102" s="12" t="str">
        <f aca="false">IF(H102&gt;=Summary!$L$6,"75%+ (all benefits)",IF(H102&gt;=Summary!$L$7,"55-74%",IF(H102&gt;=Summary!$L$8,"30-54%","Below 30%")))</f>
        <v>55-74%</v>
      </c>
      <c r="O102" s="13" t="n">
        <f aca="false">(E102+Summary!$L$13)/(G102+Summary!$L$13)</f>
        <v>0.723628691983122</v>
      </c>
      <c r="P102" s="17" t="n">
        <f aca="false">IF(O102&gt;=Summary!$L$6,20,ROUND(O102/Summary!$L$6*10,1)*2)</f>
        <v>19.2</v>
      </c>
      <c r="Q102" s="38" t="n">
        <f aca="false">P102-L102</f>
        <v>2.2</v>
      </c>
      <c r="R102" s="12" t="str">
        <f aca="false">IF(O102&gt;=Summary!$L$6,"75%+ (all benefits)",IF(O102&gt;=Summary!$L$7,"55-74%",IF(O102&gt;=Summary!$L$8,"30-54%","Below 30%")))</f>
        <v>55-74%</v>
      </c>
      <c r="S102" s="39" t="n">
        <f aca="false">MAX(0,ROUNDUP(Summary!$L$6*(G102+Summary!$L$13)-E102,0))</f>
        <v>126</v>
      </c>
      <c r="T102" s="39" t="n">
        <f aca="false">MAX(0,ROUNDUP(Summary!$L$7*(G102+Summary!$L$13)-E102,0))</f>
        <v>31</v>
      </c>
      <c r="U102" s="39" t="n">
        <f aca="false">MAX(0,ROUNDUP(Summary!$L$8*(G102+Summary!$L$13)-E102,0))</f>
        <v>0</v>
      </c>
    </row>
    <row r="103" customFormat="false" ht="15" hidden="false" customHeight="false" outlineLevel="0" collapsed="false">
      <c r="A103" s="40" t="n">
        <v>98</v>
      </c>
      <c r="B103" s="40" t="s">
        <v>26</v>
      </c>
      <c r="C103" s="40" t="s">
        <v>301</v>
      </c>
      <c r="D103" s="41" t="s">
        <v>302</v>
      </c>
      <c r="E103" s="40" t="n">
        <v>271</v>
      </c>
      <c r="F103" s="40" t="n">
        <v>90</v>
      </c>
      <c r="G103" s="40" t="n">
        <v>361</v>
      </c>
      <c r="H103" s="36" t="n">
        <f aca="false">ROUND(E103/G103*100,0)/100</f>
        <v>0.75</v>
      </c>
      <c r="I103" s="12" t="str">
        <f aca="false">IF(H103&gt;=Summary!$L$6,"Eligible","Shortage")</f>
        <v>Eligible</v>
      </c>
      <c r="J103" s="12" t="str">
        <f aca="false">IF(H103&lt;Summary!$L$8,"YES","No")</f>
        <v>No</v>
      </c>
      <c r="K103" s="12" t="str">
        <f aca="false">IF(H103&gt;=Summary!$L$7,"Counted","Not Counted")</f>
        <v>Counted</v>
      </c>
      <c r="L103" s="17" t="n">
        <f aca="false">IF(H103&gt;=Summary!$L$6,20,ROUND(H103/Summary!$L$6*10,1)*2)</f>
        <v>20</v>
      </c>
      <c r="M103" s="37" t="n">
        <f aca="false">20-L103</f>
        <v>0</v>
      </c>
      <c r="N103" s="12" t="str">
        <f aca="false">IF(H103&gt;=Summary!$L$6,"75%+ (all benefits)",IF(H103&gt;=Summary!$L$7,"55-74%",IF(H103&gt;=Summary!$L$8,"30-54%","Below 30%")))</f>
        <v>75%+ (all benefits)</v>
      </c>
      <c r="O103" s="13" t="n">
        <f aca="false">(E103+Summary!$L$13)/(G103+Summary!$L$13)</f>
        <v>0.810126582278481</v>
      </c>
      <c r="P103" s="17" t="n">
        <f aca="false">IF(O103&gt;=Summary!$L$6,20,ROUND(O103/Summary!$L$6*10,1)*2)</f>
        <v>20</v>
      </c>
      <c r="Q103" s="38" t="n">
        <f aca="false">P103-L103</f>
        <v>0</v>
      </c>
      <c r="R103" s="12" t="str">
        <f aca="false">IF(O103&gt;=Summary!$L$6,"75%+ (all benefits)",IF(O103&gt;=Summary!$L$7,"55-74%",IF(O103&gt;=Summary!$L$8,"30-54%","Below 30%")))</f>
        <v>75%+ (all benefits)</v>
      </c>
      <c r="S103" s="39" t="n">
        <f aca="false">MAX(0,ROUNDUP(Summary!$L$6*(G103+Summary!$L$13)-E103,0))</f>
        <v>85</v>
      </c>
      <c r="T103" s="39" t="n">
        <f aca="false">MAX(0,ROUNDUP(Summary!$L$7*(G103+Summary!$L$13)-E103,0))</f>
        <v>0</v>
      </c>
      <c r="U103" s="39" t="n">
        <f aca="false">MAX(0,ROUNDUP(Summary!$L$8*(G103+Summary!$L$13)-E103,0))</f>
        <v>0</v>
      </c>
    </row>
    <row r="104" customFormat="false" ht="15" hidden="false" customHeight="false" outlineLevel="0" collapsed="false">
      <c r="A104" s="12" t="n">
        <v>99</v>
      </c>
      <c r="B104" s="12" t="s">
        <v>26</v>
      </c>
      <c r="C104" s="12" t="s">
        <v>303</v>
      </c>
      <c r="D104" s="32" t="s">
        <v>304</v>
      </c>
      <c r="E104" s="12" t="n">
        <v>151</v>
      </c>
      <c r="F104" s="12" t="n">
        <v>210</v>
      </c>
      <c r="G104" s="12" t="n">
        <v>361</v>
      </c>
      <c r="H104" s="36" t="n">
        <f aca="false">ROUND(E104/G104*100,0)/100</f>
        <v>0.42</v>
      </c>
      <c r="I104" s="12" t="str">
        <f aca="false">IF(H104&gt;=Summary!$L$6,"Eligible","Shortage")</f>
        <v>Shortage</v>
      </c>
      <c r="J104" s="12" t="str">
        <f aca="false">IF(H104&lt;Summary!$L$8,"YES","No")</f>
        <v>No</v>
      </c>
      <c r="K104" s="12" t="str">
        <f aca="false">IF(H104&gt;=Summary!$L$7,"Counted","Not Counted")</f>
        <v>Not Counted</v>
      </c>
      <c r="L104" s="17" t="n">
        <f aca="false">IF(H104&gt;=Summary!$L$6,20,ROUND(H104/Summary!$L$6*10,1)*2)</f>
        <v>11.2</v>
      </c>
      <c r="M104" s="37" t="n">
        <f aca="false">20-L104</f>
        <v>8.8</v>
      </c>
      <c r="N104" s="12" t="str">
        <f aca="false">IF(H104&gt;=Summary!$L$6,"75%+ (all benefits)",IF(H104&gt;=Summary!$L$7,"55-74%",IF(H104&gt;=Summary!$L$8,"30-54%","Below 30%")))</f>
        <v>30-54%</v>
      </c>
      <c r="O104" s="13" t="n">
        <f aca="false">(E104+Summary!$L$13)/(G104+Summary!$L$13)</f>
        <v>0.556962025316456</v>
      </c>
      <c r="P104" s="17" t="n">
        <f aca="false">IF(O104&gt;=Summary!$L$6,20,ROUND(O104/Summary!$L$6*10,1)*2)</f>
        <v>14.8</v>
      </c>
      <c r="Q104" s="38" t="n">
        <f aca="false">P104-L104</f>
        <v>3.6</v>
      </c>
      <c r="R104" s="12" t="str">
        <f aca="false">IF(O104&gt;=Summary!$L$6,"75%+ (all benefits)",IF(O104&gt;=Summary!$L$7,"55-74%",IF(O104&gt;=Summary!$L$8,"30-54%","Below 30%")))</f>
        <v>55-74%</v>
      </c>
      <c r="S104" s="39" t="n">
        <f aca="false">MAX(0,ROUNDUP(Summary!$L$6*(G104+Summary!$L$13)-E104,0))</f>
        <v>205</v>
      </c>
      <c r="T104" s="39" t="n">
        <f aca="false">MAX(0,ROUNDUP(Summary!$L$7*(G104+Summary!$L$13)-E104,0))</f>
        <v>110</v>
      </c>
      <c r="U104" s="39" t="n">
        <f aca="false">MAX(0,ROUNDUP(Summary!$L$8*(G104+Summary!$L$13)-E104,0))</f>
        <v>0</v>
      </c>
    </row>
    <row r="105" customFormat="false" ht="15" hidden="false" customHeight="false" outlineLevel="0" collapsed="false">
      <c r="A105" s="40" t="n">
        <v>100</v>
      </c>
      <c r="B105" s="40" t="s">
        <v>26</v>
      </c>
      <c r="C105" s="40" t="s">
        <v>305</v>
      </c>
      <c r="D105" s="41" t="s">
        <v>306</v>
      </c>
      <c r="E105" s="40" t="n">
        <v>271</v>
      </c>
      <c r="F105" s="40" t="n">
        <v>90</v>
      </c>
      <c r="G105" s="40" t="n">
        <v>361</v>
      </c>
      <c r="H105" s="36" t="n">
        <f aca="false">ROUND(E105/G105*100,0)/100</f>
        <v>0.75</v>
      </c>
      <c r="I105" s="12" t="str">
        <f aca="false">IF(H105&gt;=Summary!$L$6,"Eligible","Shortage")</f>
        <v>Eligible</v>
      </c>
      <c r="J105" s="12" t="str">
        <f aca="false">IF(H105&lt;Summary!$L$8,"YES","No")</f>
        <v>No</v>
      </c>
      <c r="K105" s="12" t="str">
        <f aca="false">IF(H105&gt;=Summary!$L$7,"Counted","Not Counted")</f>
        <v>Counted</v>
      </c>
      <c r="L105" s="17" t="n">
        <f aca="false">IF(H105&gt;=Summary!$L$6,20,ROUND(H105/Summary!$L$6*10,1)*2)</f>
        <v>20</v>
      </c>
      <c r="M105" s="37" t="n">
        <f aca="false">20-L105</f>
        <v>0</v>
      </c>
      <c r="N105" s="12" t="str">
        <f aca="false">IF(H105&gt;=Summary!$L$6,"75%+ (all benefits)",IF(H105&gt;=Summary!$L$7,"55-74%",IF(H105&gt;=Summary!$L$8,"30-54%","Below 30%")))</f>
        <v>75%+ (all benefits)</v>
      </c>
      <c r="O105" s="13" t="n">
        <f aca="false">(E105+Summary!$L$13)/(G105+Summary!$L$13)</f>
        <v>0.810126582278481</v>
      </c>
      <c r="P105" s="17" t="n">
        <f aca="false">IF(O105&gt;=Summary!$L$6,20,ROUND(O105/Summary!$L$6*10,1)*2)</f>
        <v>20</v>
      </c>
      <c r="Q105" s="38" t="n">
        <f aca="false">P105-L105</f>
        <v>0</v>
      </c>
      <c r="R105" s="12" t="str">
        <f aca="false">IF(O105&gt;=Summary!$L$6,"75%+ (all benefits)",IF(O105&gt;=Summary!$L$7,"55-74%",IF(O105&gt;=Summary!$L$8,"30-54%","Below 30%")))</f>
        <v>75%+ (all benefits)</v>
      </c>
      <c r="S105" s="39" t="n">
        <f aca="false">MAX(0,ROUNDUP(Summary!$L$6*(G105+Summary!$L$13)-E105,0))</f>
        <v>85</v>
      </c>
      <c r="T105" s="39" t="n">
        <f aca="false">MAX(0,ROUNDUP(Summary!$L$7*(G105+Summary!$L$13)-E105,0))</f>
        <v>0</v>
      </c>
      <c r="U105" s="39" t="n">
        <f aca="false">MAX(0,ROUNDUP(Summary!$L$8*(G105+Summary!$L$13)-E105,0))</f>
        <v>0</v>
      </c>
    </row>
    <row r="106" customFormat="false" ht="15" hidden="false" customHeight="false" outlineLevel="0" collapsed="false">
      <c r="A106" s="12" t="n">
        <v>101</v>
      </c>
      <c r="B106" s="12" t="s">
        <v>26</v>
      </c>
      <c r="C106" s="12" t="s">
        <v>307</v>
      </c>
      <c r="D106" s="32" t="s">
        <v>308</v>
      </c>
      <c r="E106" s="12" t="n">
        <v>258</v>
      </c>
      <c r="F106" s="12" t="n">
        <v>103</v>
      </c>
      <c r="G106" s="12" t="n">
        <v>361</v>
      </c>
      <c r="H106" s="36" t="n">
        <f aca="false">ROUND(E106/G106*100,0)/100</f>
        <v>0.71</v>
      </c>
      <c r="I106" s="12" t="str">
        <f aca="false">IF(H106&gt;=Summary!$L$6,"Eligible","Shortage")</f>
        <v>Shortage</v>
      </c>
      <c r="J106" s="12" t="str">
        <f aca="false">IF(H106&lt;Summary!$L$8,"YES","No")</f>
        <v>No</v>
      </c>
      <c r="K106" s="12" t="str">
        <f aca="false">IF(H106&gt;=Summary!$L$7,"Counted","Not Counted")</f>
        <v>Counted</v>
      </c>
      <c r="L106" s="17" t="n">
        <f aca="false">IF(H106&gt;=Summary!$L$6,20,ROUND(H106/Summary!$L$6*10,1)*2)</f>
        <v>19</v>
      </c>
      <c r="M106" s="37" t="n">
        <f aca="false">20-L106</f>
        <v>1</v>
      </c>
      <c r="N106" s="12" t="str">
        <f aca="false">IF(H106&gt;=Summary!$L$6,"75%+ (all benefits)",IF(H106&gt;=Summary!$L$7,"55-74%",IF(H106&gt;=Summary!$L$8,"30-54%","Below 30%")))</f>
        <v>55-74%</v>
      </c>
      <c r="O106" s="13" t="n">
        <f aca="false">(E106+Summary!$L$13)/(G106+Summary!$L$13)</f>
        <v>0.782700421940928</v>
      </c>
      <c r="P106" s="17" t="n">
        <f aca="false">IF(O106&gt;=Summary!$L$6,20,ROUND(O106/Summary!$L$6*10,1)*2)</f>
        <v>20</v>
      </c>
      <c r="Q106" s="38" t="n">
        <f aca="false">P106-L106</f>
        <v>1</v>
      </c>
      <c r="R106" s="12" t="str">
        <f aca="false">IF(O106&gt;=Summary!$L$6,"75%+ (all benefits)",IF(O106&gt;=Summary!$L$7,"55-74%",IF(O106&gt;=Summary!$L$8,"30-54%","Below 30%")))</f>
        <v>75%+ (all benefits)</v>
      </c>
      <c r="S106" s="39" t="n">
        <f aca="false">MAX(0,ROUNDUP(Summary!$L$6*(G106+Summary!$L$13)-E106,0))</f>
        <v>98</v>
      </c>
      <c r="T106" s="39" t="n">
        <f aca="false">MAX(0,ROUNDUP(Summary!$L$7*(G106+Summary!$L$13)-E106,0))</f>
        <v>3</v>
      </c>
      <c r="U106" s="39" t="n">
        <f aca="false">MAX(0,ROUNDUP(Summary!$L$8*(G106+Summary!$L$13)-E106,0))</f>
        <v>0</v>
      </c>
    </row>
    <row r="107" customFormat="false" ht="15" hidden="false" customHeight="false" outlineLevel="0" collapsed="false">
      <c r="A107" s="40" t="n">
        <v>102</v>
      </c>
      <c r="B107" s="40" t="s">
        <v>26</v>
      </c>
      <c r="C107" s="40" t="s">
        <v>309</v>
      </c>
      <c r="D107" s="41" t="s">
        <v>310</v>
      </c>
      <c r="E107" s="40" t="n">
        <v>275</v>
      </c>
      <c r="F107" s="40" t="n">
        <v>86</v>
      </c>
      <c r="G107" s="40" t="n">
        <v>361</v>
      </c>
      <c r="H107" s="36" t="n">
        <f aca="false">ROUND(E107/G107*100,0)/100</f>
        <v>0.76</v>
      </c>
      <c r="I107" s="12" t="str">
        <f aca="false">IF(H107&gt;=Summary!$L$6,"Eligible","Shortage")</f>
        <v>Eligible</v>
      </c>
      <c r="J107" s="12" t="str">
        <f aca="false">IF(H107&lt;Summary!$L$8,"YES","No")</f>
        <v>No</v>
      </c>
      <c r="K107" s="12" t="str">
        <f aca="false">IF(H107&gt;=Summary!$L$7,"Counted","Not Counted")</f>
        <v>Counted</v>
      </c>
      <c r="L107" s="17" t="n">
        <f aca="false">IF(H107&gt;=Summary!$L$6,20,ROUND(H107/Summary!$L$6*10,1)*2)</f>
        <v>20</v>
      </c>
      <c r="M107" s="37" t="n">
        <f aca="false">20-L107</f>
        <v>0</v>
      </c>
      <c r="N107" s="12" t="str">
        <f aca="false">IF(H107&gt;=Summary!$L$6,"75%+ (all benefits)",IF(H107&gt;=Summary!$L$7,"55-74%",IF(H107&gt;=Summary!$L$8,"30-54%","Below 30%")))</f>
        <v>75%+ (all benefits)</v>
      </c>
      <c r="O107" s="13" t="n">
        <f aca="false">(E107+Summary!$L$13)/(G107+Summary!$L$13)</f>
        <v>0.818565400843882</v>
      </c>
      <c r="P107" s="17" t="n">
        <f aca="false">IF(O107&gt;=Summary!$L$6,20,ROUND(O107/Summary!$L$6*10,1)*2)</f>
        <v>20</v>
      </c>
      <c r="Q107" s="38" t="n">
        <f aca="false">P107-L107</f>
        <v>0</v>
      </c>
      <c r="R107" s="12" t="str">
        <f aca="false">IF(O107&gt;=Summary!$L$6,"75%+ (all benefits)",IF(O107&gt;=Summary!$L$7,"55-74%",IF(O107&gt;=Summary!$L$8,"30-54%","Below 30%")))</f>
        <v>75%+ (all benefits)</v>
      </c>
      <c r="S107" s="39" t="n">
        <f aca="false">MAX(0,ROUNDUP(Summary!$L$6*(G107+Summary!$L$13)-E107,0))</f>
        <v>81</v>
      </c>
      <c r="T107" s="39" t="n">
        <f aca="false">MAX(0,ROUNDUP(Summary!$L$7*(G107+Summary!$L$13)-E107,0))</f>
        <v>0</v>
      </c>
      <c r="U107" s="39" t="n">
        <f aca="false">MAX(0,ROUNDUP(Summary!$L$8*(G107+Summary!$L$13)-E107,0))</f>
        <v>0</v>
      </c>
    </row>
    <row r="108" customFormat="false" ht="15" hidden="false" customHeight="false" outlineLevel="0" collapsed="false">
      <c r="A108" s="12" t="n">
        <v>103</v>
      </c>
      <c r="B108" s="12" t="s">
        <v>26</v>
      </c>
      <c r="C108" s="12" t="s">
        <v>311</v>
      </c>
      <c r="D108" s="32" t="s">
        <v>312</v>
      </c>
      <c r="E108" s="12" t="n">
        <v>172</v>
      </c>
      <c r="F108" s="12" t="n">
        <v>189</v>
      </c>
      <c r="G108" s="12" t="n">
        <v>361</v>
      </c>
      <c r="H108" s="36" t="n">
        <f aca="false">ROUND(E108/G108*100,0)/100</f>
        <v>0.48</v>
      </c>
      <c r="I108" s="12" t="str">
        <f aca="false">IF(H108&gt;=Summary!$L$6,"Eligible","Shortage")</f>
        <v>Shortage</v>
      </c>
      <c r="J108" s="12" t="str">
        <f aca="false">IF(H108&lt;Summary!$L$8,"YES","No")</f>
        <v>No</v>
      </c>
      <c r="K108" s="12" t="str">
        <f aca="false">IF(H108&gt;=Summary!$L$7,"Counted","Not Counted")</f>
        <v>Not Counted</v>
      </c>
      <c r="L108" s="17" t="n">
        <f aca="false">IF(H108&gt;=Summary!$L$6,20,ROUND(H108/Summary!$L$6*10,1)*2)</f>
        <v>12.8</v>
      </c>
      <c r="M108" s="37" t="n">
        <f aca="false">20-L108</f>
        <v>7.2</v>
      </c>
      <c r="N108" s="12" t="str">
        <f aca="false">IF(H108&gt;=Summary!$L$6,"75%+ (all benefits)",IF(H108&gt;=Summary!$L$7,"55-74%",IF(H108&gt;=Summary!$L$8,"30-54%","Below 30%")))</f>
        <v>30-54%</v>
      </c>
      <c r="O108" s="13" t="n">
        <f aca="false">(E108+Summary!$L$13)/(G108+Summary!$L$13)</f>
        <v>0.60126582278481</v>
      </c>
      <c r="P108" s="17" t="n">
        <f aca="false">IF(O108&gt;=Summary!$L$6,20,ROUND(O108/Summary!$L$6*10,1)*2)</f>
        <v>16</v>
      </c>
      <c r="Q108" s="38" t="n">
        <f aca="false">P108-L108</f>
        <v>3.2</v>
      </c>
      <c r="R108" s="12" t="str">
        <f aca="false">IF(O108&gt;=Summary!$L$6,"75%+ (all benefits)",IF(O108&gt;=Summary!$L$7,"55-74%",IF(O108&gt;=Summary!$L$8,"30-54%","Below 30%")))</f>
        <v>55-74%</v>
      </c>
      <c r="S108" s="39" t="n">
        <f aca="false">MAX(0,ROUNDUP(Summary!$L$6*(G108+Summary!$L$13)-E108,0))</f>
        <v>184</v>
      </c>
      <c r="T108" s="39" t="n">
        <f aca="false">MAX(0,ROUNDUP(Summary!$L$7*(G108+Summary!$L$13)-E108,0))</f>
        <v>89</v>
      </c>
      <c r="U108" s="39" t="n">
        <f aca="false">MAX(0,ROUNDUP(Summary!$L$8*(G108+Summary!$L$13)-E108,0))</f>
        <v>0</v>
      </c>
    </row>
    <row r="109" customFormat="false" ht="15" hidden="false" customHeight="false" outlineLevel="0" collapsed="false">
      <c r="A109" s="40" t="n">
        <v>104</v>
      </c>
      <c r="B109" s="40" t="s">
        <v>26</v>
      </c>
      <c r="C109" s="40" t="s">
        <v>313</v>
      </c>
      <c r="D109" s="41" t="s">
        <v>314</v>
      </c>
      <c r="E109" s="40" t="n">
        <v>233</v>
      </c>
      <c r="F109" s="40" t="n">
        <v>128</v>
      </c>
      <c r="G109" s="40" t="n">
        <v>361</v>
      </c>
      <c r="H109" s="36" t="n">
        <f aca="false">ROUND(E109/G109*100,0)/100</f>
        <v>0.65</v>
      </c>
      <c r="I109" s="12" t="str">
        <f aca="false">IF(H109&gt;=Summary!$L$6,"Eligible","Shortage")</f>
        <v>Shortage</v>
      </c>
      <c r="J109" s="12" t="str">
        <f aca="false">IF(H109&lt;Summary!$L$8,"YES","No")</f>
        <v>No</v>
      </c>
      <c r="K109" s="12" t="str">
        <f aca="false">IF(H109&gt;=Summary!$L$7,"Counted","Not Counted")</f>
        <v>Counted</v>
      </c>
      <c r="L109" s="17" t="n">
        <f aca="false">IF(H109&gt;=Summary!$L$6,20,ROUND(H109/Summary!$L$6*10,1)*2)</f>
        <v>17.4</v>
      </c>
      <c r="M109" s="37" t="n">
        <f aca="false">20-L109</f>
        <v>2.6</v>
      </c>
      <c r="N109" s="12" t="str">
        <f aca="false">IF(H109&gt;=Summary!$L$6,"75%+ (all benefits)",IF(H109&gt;=Summary!$L$7,"55-74%",IF(H109&gt;=Summary!$L$8,"30-54%","Below 30%")))</f>
        <v>55-74%</v>
      </c>
      <c r="O109" s="13" t="n">
        <f aca="false">(E109+Summary!$L$13)/(G109+Summary!$L$13)</f>
        <v>0.729957805907173</v>
      </c>
      <c r="P109" s="17" t="n">
        <f aca="false">IF(O109&gt;=Summary!$L$6,20,ROUND(O109/Summary!$L$6*10,1)*2)</f>
        <v>19.4</v>
      </c>
      <c r="Q109" s="38" t="n">
        <f aca="false">P109-L109</f>
        <v>2</v>
      </c>
      <c r="R109" s="12" t="str">
        <f aca="false">IF(O109&gt;=Summary!$L$6,"75%+ (all benefits)",IF(O109&gt;=Summary!$L$7,"55-74%",IF(O109&gt;=Summary!$L$8,"30-54%","Below 30%")))</f>
        <v>55-74%</v>
      </c>
      <c r="S109" s="39" t="n">
        <f aca="false">MAX(0,ROUNDUP(Summary!$L$6*(G109+Summary!$L$13)-E109,0))</f>
        <v>123</v>
      </c>
      <c r="T109" s="39" t="n">
        <f aca="false">MAX(0,ROUNDUP(Summary!$L$7*(G109+Summary!$L$13)-E109,0))</f>
        <v>28</v>
      </c>
      <c r="U109" s="39" t="n">
        <f aca="false">MAX(0,ROUNDUP(Summary!$L$8*(G109+Summary!$L$13)-E109,0))</f>
        <v>0</v>
      </c>
    </row>
    <row r="110" customFormat="false" ht="15" hidden="false" customHeight="false" outlineLevel="0" collapsed="false">
      <c r="A110" s="12" t="n">
        <v>105</v>
      </c>
      <c r="B110" s="12" t="s">
        <v>26</v>
      </c>
      <c r="C110" s="12" t="s">
        <v>315</v>
      </c>
      <c r="D110" s="32" t="s">
        <v>316</v>
      </c>
      <c r="E110" s="12" t="n">
        <v>176</v>
      </c>
      <c r="F110" s="12" t="n">
        <v>185</v>
      </c>
      <c r="G110" s="12" t="n">
        <v>361</v>
      </c>
      <c r="H110" s="36" t="n">
        <f aca="false">ROUND(E110/G110*100,0)/100</f>
        <v>0.49</v>
      </c>
      <c r="I110" s="12" t="str">
        <f aca="false">IF(H110&gt;=Summary!$L$6,"Eligible","Shortage")</f>
        <v>Shortage</v>
      </c>
      <c r="J110" s="12" t="str">
        <f aca="false">IF(H110&lt;Summary!$L$8,"YES","No")</f>
        <v>No</v>
      </c>
      <c r="K110" s="12" t="str">
        <f aca="false">IF(H110&gt;=Summary!$L$7,"Counted","Not Counted")</f>
        <v>Not Counted</v>
      </c>
      <c r="L110" s="17" t="n">
        <f aca="false">IF(H110&gt;=Summary!$L$6,20,ROUND(H110/Summary!$L$6*10,1)*2)</f>
        <v>13</v>
      </c>
      <c r="M110" s="37" t="n">
        <f aca="false">20-L110</f>
        <v>7</v>
      </c>
      <c r="N110" s="12" t="str">
        <f aca="false">IF(H110&gt;=Summary!$L$6,"75%+ (all benefits)",IF(H110&gt;=Summary!$L$7,"55-74%",IF(H110&gt;=Summary!$L$8,"30-54%","Below 30%")))</f>
        <v>30-54%</v>
      </c>
      <c r="O110" s="13" t="n">
        <f aca="false">(E110+Summary!$L$13)/(G110+Summary!$L$13)</f>
        <v>0.609704641350211</v>
      </c>
      <c r="P110" s="17" t="n">
        <f aca="false">IF(O110&gt;=Summary!$L$6,20,ROUND(O110/Summary!$L$6*10,1)*2)</f>
        <v>16.2</v>
      </c>
      <c r="Q110" s="38" t="n">
        <f aca="false">P110-L110</f>
        <v>3.2</v>
      </c>
      <c r="R110" s="12" t="str">
        <f aca="false">IF(O110&gt;=Summary!$L$6,"75%+ (all benefits)",IF(O110&gt;=Summary!$L$7,"55-74%",IF(O110&gt;=Summary!$L$8,"30-54%","Below 30%")))</f>
        <v>55-74%</v>
      </c>
      <c r="S110" s="39" t="n">
        <f aca="false">MAX(0,ROUNDUP(Summary!$L$6*(G110+Summary!$L$13)-E110,0))</f>
        <v>180</v>
      </c>
      <c r="T110" s="39" t="n">
        <f aca="false">MAX(0,ROUNDUP(Summary!$L$7*(G110+Summary!$L$13)-E110,0))</f>
        <v>85</v>
      </c>
      <c r="U110" s="39" t="n">
        <f aca="false">MAX(0,ROUNDUP(Summary!$L$8*(G110+Summary!$L$13)-E110,0))</f>
        <v>0</v>
      </c>
    </row>
    <row r="111" customFormat="false" ht="15" hidden="false" customHeight="false" outlineLevel="0" collapsed="false">
      <c r="A111" s="40" t="n">
        <v>106</v>
      </c>
      <c r="B111" s="40" t="s">
        <v>26</v>
      </c>
      <c r="C111" s="40" t="s">
        <v>69</v>
      </c>
      <c r="D111" s="41" t="s">
        <v>70</v>
      </c>
      <c r="E111" s="40" t="n">
        <v>68</v>
      </c>
      <c r="F111" s="40" t="n">
        <v>293</v>
      </c>
      <c r="G111" s="40" t="n">
        <v>361</v>
      </c>
      <c r="H111" s="36" t="n">
        <f aca="false">ROUND(E111/G111*100,0)/100</f>
        <v>0.19</v>
      </c>
      <c r="I111" s="12" t="str">
        <f aca="false">IF(H111&gt;=Summary!$L$6,"Eligible","Shortage")</f>
        <v>Shortage</v>
      </c>
      <c r="J111" s="12" t="str">
        <f aca="false">IF(H111&lt;Summary!$L$8,"YES","No")</f>
        <v>YES</v>
      </c>
      <c r="K111" s="12" t="str">
        <f aca="false">IF(H111&gt;=Summary!$L$7,"Counted","Not Counted")</f>
        <v>Not Counted</v>
      </c>
      <c r="L111" s="17" t="n">
        <f aca="false">IF(H111&gt;=Summary!$L$6,20,ROUND(H111/Summary!$L$6*10,1)*2)</f>
        <v>5</v>
      </c>
      <c r="M111" s="37" t="n">
        <f aca="false">20-L111</f>
        <v>15</v>
      </c>
      <c r="N111" s="12" t="str">
        <f aca="false">IF(H111&gt;=Summary!$L$6,"75%+ (all benefits)",IF(H111&gt;=Summary!$L$7,"55-74%",IF(H111&gt;=Summary!$L$8,"30-54%","Below 30%")))</f>
        <v>Below 30%</v>
      </c>
      <c r="O111" s="13" t="n">
        <f aca="false">(E111+Summary!$L$13)/(G111+Summary!$L$13)</f>
        <v>0.381856540084388</v>
      </c>
      <c r="P111" s="17" t="n">
        <f aca="false">IF(O111&gt;=Summary!$L$6,20,ROUND(O111/Summary!$L$6*10,1)*2)</f>
        <v>10.2</v>
      </c>
      <c r="Q111" s="38" t="n">
        <f aca="false">P111-L111</f>
        <v>5.2</v>
      </c>
      <c r="R111" s="12" t="str">
        <f aca="false">IF(O111&gt;=Summary!$L$6,"75%+ (all benefits)",IF(O111&gt;=Summary!$L$7,"55-74%",IF(O111&gt;=Summary!$L$8,"30-54%","Below 30%")))</f>
        <v>30-54%</v>
      </c>
      <c r="S111" s="39" t="n">
        <f aca="false">MAX(0,ROUNDUP(Summary!$L$6*(G111+Summary!$L$13)-E111,0))</f>
        <v>288</v>
      </c>
      <c r="T111" s="39" t="n">
        <f aca="false">MAX(0,ROUNDUP(Summary!$L$7*(G111+Summary!$L$13)-E111,0))</f>
        <v>193</v>
      </c>
      <c r="U111" s="39" t="n">
        <f aca="false">MAX(0,ROUNDUP(Summary!$L$8*(G111+Summary!$L$13)-E111,0))</f>
        <v>75</v>
      </c>
    </row>
    <row r="112" customFormat="false" ht="15" hidden="false" customHeight="false" outlineLevel="0" collapsed="false">
      <c r="A112" s="12" t="n">
        <v>107</v>
      </c>
      <c r="B112" s="12" t="s">
        <v>26</v>
      </c>
      <c r="C112" s="12" t="s">
        <v>317</v>
      </c>
      <c r="D112" s="32" t="s">
        <v>318</v>
      </c>
      <c r="E112" s="12" t="n">
        <v>252</v>
      </c>
      <c r="F112" s="12" t="n">
        <v>109</v>
      </c>
      <c r="G112" s="12" t="n">
        <v>361</v>
      </c>
      <c r="H112" s="36" t="n">
        <f aca="false">ROUND(E112/G112*100,0)/100</f>
        <v>0.7</v>
      </c>
      <c r="I112" s="12" t="str">
        <f aca="false">IF(H112&gt;=Summary!$L$6,"Eligible","Shortage")</f>
        <v>Shortage</v>
      </c>
      <c r="J112" s="12" t="str">
        <f aca="false">IF(H112&lt;Summary!$L$8,"YES","No")</f>
        <v>No</v>
      </c>
      <c r="K112" s="12" t="str">
        <f aca="false">IF(H112&gt;=Summary!$L$7,"Counted","Not Counted")</f>
        <v>Counted</v>
      </c>
      <c r="L112" s="17" t="n">
        <f aca="false">IF(H112&gt;=Summary!$L$6,20,ROUND(H112/Summary!$L$6*10,1)*2)</f>
        <v>18.6</v>
      </c>
      <c r="M112" s="37" t="n">
        <f aca="false">20-L112</f>
        <v>1.4</v>
      </c>
      <c r="N112" s="12" t="str">
        <f aca="false">IF(H112&gt;=Summary!$L$6,"75%+ (all benefits)",IF(H112&gt;=Summary!$L$7,"55-74%",IF(H112&gt;=Summary!$L$8,"30-54%","Below 30%")))</f>
        <v>55-74%</v>
      </c>
      <c r="O112" s="13" t="n">
        <f aca="false">(E112+Summary!$L$13)/(G112+Summary!$L$13)</f>
        <v>0.770042194092827</v>
      </c>
      <c r="P112" s="17" t="n">
        <f aca="false">IF(O112&gt;=Summary!$L$6,20,ROUND(O112/Summary!$L$6*10,1)*2)</f>
        <v>20</v>
      </c>
      <c r="Q112" s="38" t="n">
        <f aca="false">P112-L112</f>
        <v>1.4</v>
      </c>
      <c r="R112" s="12" t="str">
        <f aca="false">IF(O112&gt;=Summary!$L$6,"75%+ (all benefits)",IF(O112&gt;=Summary!$L$7,"55-74%",IF(O112&gt;=Summary!$L$8,"30-54%","Below 30%")))</f>
        <v>75%+ (all benefits)</v>
      </c>
      <c r="S112" s="39" t="n">
        <f aca="false">MAX(0,ROUNDUP(Summary!$L$6*(G112+Summary!$L$13)-E112,0))</f>
        <v>104</v>
      </c>
      <c r="T112" s="39" t="n">
        <f aca="false">MAX(0,ROUNDUP(Summary!$L$7*(G112+Summary!$L$13)-E112,0))</f>
        <v>9</v>
      </c>
      <c r="U112" s="39" t="n">
        <f aca="false">MAX(0,ROUNDUP(Summary!$L$8*(G112+Summary!$L$13)-E112,0))</f>
        <v>0</v>
      </c>
    </row>
    <row r="113" customFormat="false" ht="15" hidden="false" customHeight="false" outlineLevel="0" collapsed="false">
      <c r="A113" s="40" t="n">
        <v>108</v>
      </c>
      <c r="B113" s="40" t="s">
        <v>26</v>
      </c>
      <c r="C113" s="40" t="s">
        <v>319</v>
      </c>
      <c r="D113" s="41" t="s">
        <v>320</v>
      </c>
      <c r="E113" s="40" t="n">
        <v>145</v>
      </c>
      <c r="F113" s="40" t="n">
        <v>216</v>
      </c>
      <c r="G113" s="40" t="n">
        <v>361</v>
      </c>
      <c r="H113" s="36" t="n">
        <f aca="false">ROUND(E113/G113*100,0)/100</f>
        <v>0.4</v>
      </c>
      <c r="I113" s="12" t="str">
        <f aca="false">IF(H113&gt;=Summary!$L$6,"Eligible","Shortage")</f>
        <v>Shortage</v>
      </c>
      <c r="J113" s="12" t="str">
        <f aca="false">IF(H113&lt;Summary!$L$8,"YES","No")</f>
        <v>No</v>
      </c>
      <c r="K113" s="12" t="str">
        <f aca="false">IF(H113&gt;=Summary!$L$7,"Counted","Not Counted")</f>
        <v>Not Counted</v>
      </c>
      <c r="L113" s="17" t="n">
        <f aca="false">IF(H113&gt;=Summary!$L$6,20,ROUND(H113/Summary!$L$6*10,1)*2)</f>
        <v>10.6</v>
      </c>
      <c r="M113" s="37" t="n">
        <f aca="false">20-L113</f>
        <v>9.4</v>
      </c>
      <c r="N113" s="12" t="str">
        <f aca="false">IF(H113&gt;=Summary!$L$6,"75%+ (all benefits)",IF(H113&gt;=Summary!$L$7,"55-74%",IF(H113&gt;=Summary!$L$8,"30-54%","Below 30%")))</f>
        <v>30-54%</v>
      </c>
      <c r="O113" s="13" t="n">
        <f aca="false">(E113+Summary!$L$13)/(G113+Summary!$L$13)</f>
        <v>0.544303797468354</v>
      </c>
      <c r="P113" s="17" t="n">
        <f aca="false">IF(O113&gt;=Summary!$L$6,20,ROUND(O113/Summary!$L$6*10,1)*2)</f>
        <v>14.6</v>
      </c>
      <c r="Q113" s="38" t="n">
        <f aca="false">P113-L113</f>
        <v>4</v>
      </c>
      <c r="R113" s="12" t="str">
        <f aca="false">IF(O113&gt;=Summary!$L$6,"75%+ (all benefits)",IF(O113&gt;=Summary!$L$7,"55-74%",IF(O113&gt;=Summary!$L$8,"30-54%","Below 30%")))</f>
        <v>30-54%</v>
      </c>
      <c r="S113" s="39" t="n">
        <f aca="false">MAX(0,ROUNDUP(Summary!$L$6*(G113+Summary!$L$13)-E113,0))</f>
        <v>211</v>
      </c>
      <c r="T113" s="39" t="n">
        <f aca="false">MAX(0,ROUNDUP(Summary!$L$7*(G113+Summary!$L$13)-E113,0))</f>
        <v>116</v>
      </c>
      <c r="U113" s="39" t="n">
        <f aca="false">MAX(0,ROUNDUP(Summary!$L$8*(G113+Summary!$L$13)-E113,0))</f>
        <v>0</v>
      </c>
    </row>
    <row r="114" customFormat="false" ht="15" hidden="false" customHeight="false" outlineLevel="0" collapsed="false">
      <c r="A114" s="12" t="n">
        <v>109</v>
      </c>
      <c r="B114" s="12" t="s">
        <v>26</v>
      </c>
      <c r="C114" s="12" t="s">
        <v>321</v>
      </c>
      <c r="D114" s="32" t="s">
        <v>322</v>
      </c>
      <c r="E114" s="12" t="n">
        <v>248</v>
      </c>
      <c r="F114" s="12" t="n">
        <v>113</v>
      </c>
      <c r="G114" s="12" t="n">
        <v>361</v>
      </c>
      <c r="H114" s="36" t="n">
        <f aca="false">ROUND(E114/G114*100,0)/100</f>
        <v>0.69</v>
      </c>
      <c r="I114" s="12" t="str">
        <f aca="false">IF(H114&gt;=Summary!$L$6,"Eligible","Shortage")</f>
        <v>Shortage</v>
      </c>
      <c r="J114" s="12" t="str">
        <f aca="false">IF(H114&lt;Summary!$L$8,"YES","No")</f>
        <v>No</v>
      </c>
      <c r="K114" s="12" t="str">
        <f aca="false">IF(H114&gt;=Summary!$L$7,"Counted","Not Counted")</f>
        <v>Counted</v>
      </c>
      <c r="L114" s="17" t="n">
        <f aca="false">IF(H114&gt;=Summary!$L$6,20,ROUND(H114/Summary!$L$6*10,1)*2)</f>
        <v>18.4</v>
      </c>
      <c r="M114" s="37" t="n">
        <f aca="false">20-L114</f>
        <v>1.6</v>
      </c>
      <c r="N114" s="12" t="str">
        <f aca="false">IF(H114&gt;=Summary!$L$6,"75%+ (all benefits)",IF(H114&gt;=Summary!$L$7,"55-74%",IF(H114&gt;=Summary!$L$8,"30-54%","Below 30%")))</f>
        <v>55-74%</v>
      </c>
      <c r="O114" s="13" t="n">
        <f aca="false">(E114+Summary!$L$13)/(G114+Summary!$L$13)</f>
        <v>0.761603375527426</v>
      </c>
      <c r="P114" s="17" t="n">
        <f aca="false">IF(O114&gt;=Summary!$L$6,20,ROUND(O114/Summary!$L$6*10,1)*2)</f>
        <v>20</v>
      </c>
      <c r="Q114" s="38" t="n">
        <f aca="false">P114-L114</f>
        <v>1.6</v>
      </c>
      <c r="R114" s="12" t="str">
        <f aca="false">IF(O114&gt;=Summary!$L$6,"75%+ (all benefits)",IF(O114&gt;=Summary!$L$7,"55-74%",IF(O114&gt;=Summary!$L$8,"30-54%","Below 30%")))</f>
        <v>75%+ (all benefits)</v>
      </c>
      <c r="S114" s="39" t="n">
        <f aca="false">MAX(0,ROUNDUP(Summary!$L$6*(G114+Summary!$L$13)-E114,0))</f>
        <v>108</v>
      </c>
      <c r="T114" s="39" t="n">
        <f aca="false">MAX(0,ROUNDUP(Summary!$L$7*(G114+Summary!$L$13)-E114,0))</f>
        <v>13</v>
      </c>
      <c r="U114" s="39" t="n">
        <f aca="false">MAX(0,ROUNDUP(Summary!$L$8*(G114+Summary!$L$13)-E114,0))</f>
        <v>0</v>
      </c>
    </row>
    <row r="115" customFormat="false" ht="15" hidden="false" customHeight="false" outlineLevel="0" collapsed="false">
      <c r="A115" s="40" t="n">
        <v>110</v>
      </c>
      <c r="B115" s="40" t="s">
        <v>26</v>
      </c>
      <c r="C115" s="40" t="s">
        <v>323</v>
      </c>
      <c r="D115" s="41" t="s">
        <v>324</v>
      </c>
      <c r="E115" s="40" t="n">
        <v>226</v>
      </c>
      <c r="F115" s="40" t="n">
        <v>135</v>
      </c>
      <c r="G115" s="40" t="n">
        <v>361</v>
      </c>
      <c r="H115" s="36" t="n">
        <f aca="false">ROUND(E115/G115*100,0)/100</f>
        <v>0.63</v>
      </c>
      <c r="I115" s="12" t="str">
        <f aca="false">IF(H115&gt;=Summary!$L$6,"Eligible","Shortage")</f>
        <v>Shortage</v>
      </c>
      <c r="J115" s="12" t="str">
        <f aca="false">IF(H115&lt;Summary!$L$8,"YES","No")</f>
        <v>No</v>
      </c>
      <c r="K115" s="12" t="str">
        <f aca="false">IF(H115&gt;=Summary!$L$7,"Counted","Not Counted")</f>
        <v>Counted</v>
      </c>
      <c r="L115" s="17" t="n">
        <f aca="false">IF(H115&gt;=Summary!$L$6,20,ROUND(H115/Summary!$L$6*10,1)*2)</f>
        <v>16.8</v>
      </c>
      <c r="M115" s="37" t="n">
        <f aca="false">20-L115</f>
        <v>3.2</v>
      </c>
      <c r="N115" s="12" t="str">
        <f aca="false">IF(H115&gt;=Summary!$L$6,"75%+ (all benefits)",IF(H115&gt;=Summary!$L$7,"55-74%",IF(H115&gt;=Summary!$L$8,"30-54%","Below 30%")))</f>
        <v>55-74%</v>
      </c>
      <c r="O115" s="13" t="n">
        <f aca="false">(E115+Summary!$L$13)/(G115+Summary!$L$13)</f>
        <v>0.715189873417722</v>
      </c>
      <c r="P115" s="17" t="n">
        <f aca="false">IF(O115&gt;=Summary!$L$6,20,ROUND(O115/Summary!$L$6*10,1)*2)</f>
        <v>19</v>
      </c>
      <c r="Q115" s="38" t="n">
        <f aca="false">P115-L115</f>
        <v>2.2</v>
      </c>
      <c r="R115" s="12" t="str">
        <f aca="false">IF(O115&gt;=Summary!$L$6,"75%+ (all benefits)",IF(O115&gt;=Summary!$L$7,"55-74%",IF(O115&gt;=Summary!$L$8,"30-54%","Below 30%")))</f>
        <v>55-74%</v>
      </c>
      <c r="S115" s="39" t="n">
        <f aca="false">MAX(0,ROUNDUP(Summary!$L$6*(G115+Summary!$L$13)-E115,0))</f>
        <v>130</v>
      </c>
      <c r="T115" s="39" t="n">
        <f aca="false">MAX(0,ROUNDUP(Summary!$L$7*(G115+Summary!$L$13)-E115,0))</f>
        <v>35</v>
      </c>
      <c r="U115" s="39" t="n">
        <f aca="false">MAX(0,ROUNDUP(Summary!$L$8*(G115+Summary!$L$13)-E115,0))</f>
        <v>0</v>
      </c>
    </row>
    <row r="116" customFormat="false" ht="15" hidden="false" customHeight="false" outlineLevel="0" collapsed="false">
      <c r="A116" s="12" t="n">
        <v>111</v>
      </c>
      <c r="B116" s="12" t="s">
        <v>26</v>
      </c>
      <c r="C116" s="12" t="s">
        <v>325</v>
      </c>
      <c r="D116" s="32" t="s">
        <v>326</v>
      </c>
      <c r="E116" s="12" t="n">
        <v>228</v>
      </c>
      <c r="F116" s="12" t="n">
        <v>133</v>
      </c>
      <c r="G116" s="12" t="n">
        <v>361</v>
      </c>
      <c r="H116" s="36" t="n">
        <f aca="false">ROUND(E116/G116*100,0)/100</f>
        <v>0.63</v>
      </c>
      <c r="I116" s="12" t="str">
        <f aca="false">IF(H116&gt;=Summary!$L$6,"Eligible","Shortage")</f>
        <v>Shortage</v>
      </c>
      <c r="J116" s="12" t="str">
        <f aca="false">IF(H116&lt;Summary!$L$8,"YES","No")</f>
        <v>No</v>
      </c>
      <c r="K116" s="12" t="str">
        <f aca="false">IF(H116&gt;=Summary!$L$7,"Counted","Not Counted")</f>
        <v>Counted</v>
      </c>
      <c r="L116" s="17" t="n">
        <f aca="false">IF(H116&gt;=Summary!$L$6,20,ROUND(H116/Summary!$L$6*10,1)*2)</f>
        <v>16.8</v>
      </c>
      <c r="M116" s="37" t="n">
        <f aca="false">20-L116</f>
        <v>3.2</v>
      </c>
      <c r="N116" s="12" t="str">
        <f aca="false">IF(H116&gt;=Summary!$L$6,"75%+ (all benefits)",IF(H116&gt;=Summary!$L$7,"55-74%",IF(H116&gt;=Summary!$L$8,"30-54%","Below 30%")))</f>
        <v>55-74%</v>
      </c>
      <c r="O116" s="13" t="n">
        <f aca="false">(E116+Summary!$L$13)/(G116+Summary!$L$13)</f>
        <v>0.719409282700422</v>
      </c>
      <c r="P116" s="17" t="n">
        <f aca="false">IF(O116&gt;=Summary!$L$6,20,ROUND(O116/Summary!$L$6*10,1)*2)</f>
        <v>19.2</v>
      </c>
      <c r="Q116" s="38" t="n">
        <f aca="false">P116-L116</f>
        <v>2.4</v>
      </c>
      <c r="R116" s="12" t="str">
        <f aca="false">IF(O116&gt;=Summary!$L$6,"75%+ (all benefits)",IF(O116&gt;=Summary!$L$7,"55-74%",IF(O116&gt;=Summary!$L$8,"30-54%","Below 30%")))</f>
        <v>55-74%</v>
      </c>
      <c r="S116" s="39" t="n">
        <f aca="false">MAX(0,ROUNDUP(Summary!$L$6*(G116+Summary!$L$13)-E116,0))</f>
        <v>128</v>
      </c>
      <c r="T116" s="39" t="n">
        <f aca="false">MAX(0,ROUNDUP(Summary!$L$7*(G116+Summary!$L$13)-E116,0))</f>
        <v>33</v>
      </c>
      <c r="U116" s="39" t="n">
        <f aca="false">MAX(0,ROUNDUP(Summary!$L$8*(G116+Summary!$L$13)-E116,0))</f>
        <v>0</v>
      </c>
    </row>
    <row r="117" customFormat="false" ht="15" hidden="false" customHeight="false" outlineLevel="0" collapsed="false">
      <c r="A117" s="40" t="n">
        <v>112</v>
      </c>
      <c r="B117" s="40" t="s">
        <v>26</v>
      </c>
      <c r="C117" s="40" t="s">
        <v>327</v>
      </c>
      <c r="D117" s="41" t="s">
        <v>328</v>
      </c>
      <c r="E117" s="40" t="n">
        <v>257</v>
      </c>
      <c r="F117" s="40" t="n">
        <v>104</v>
      </c>
      <c r="G117" s="40" t="n">
        <v>361</v>
      </c>
      <c r="H117" s="36" t="n">
        <f aca="false">ROUND(E117/G117*100,0)/100</f>
        <v>0.71</v>
      </c>
      <c r="I117" s="12" t="str">
        <f aca="false">IF(H117&gt;=Summary!$L$6,"Eligible","Shortage")</f>
        <v>Shortage</v>
      </c>
      <c r="J117" s="12" t="str">
        <f aca="false">IF(H117&lt;Summary!$L$8,"YES","No")</f>
        <v>No</v>
      </c>
      <c r="K117" s="12" t="str">
        <f aca="false">IF(H117&gt;=Summary!$L$7,"Counted","Not Counted")</f>
        <v>Counted</v>
      </c>
      <c r="L117" s="17" t="n">
        <f aca="false">IF(H117&gt;=Summary!$L$6,20,ROUND(H117/Summary!$L$6*10,1)*2)</f>
        <v>19</v>
      </c>
      <c r="M117" s="37" t="n">
        <f aca="false">20-L117</f>
        <v>1</v>
      </c>
      <c r="N117" s="12" t="str">
        <f aca="false">IF(H117&gt;=Summary!$L$6,"75%+ (all benefits)",IF(H117&gt;=Summary!$L$7,"55-74%",IF(H117&gt;=Summary!$L$8,"30-54%","Below 30%")))</f>
        <v>55-74%</v>
      </c>
      <c r="O117" s="13" t="n">
        <f aca="false">(E117+Summary!$L$13)/(G117+Summary!$L$13)</f>
        <v>0.780590717299578</v>
      </c>
      <c r="P117" s="17" t="n">
        <f aca="false">IF(O117&gt;=Summary!$L$6,20,ROUND(O117/Summary!$L$6*10,1)*2)</f>
        <v>20</v>
      </c>
      <c r="Q117" s="38" t="n">
        <f aca="false">P117-L117</f>
        <v>1</v>
      </c>
      <c r="R117" s="12" t="str">
        <f aca="false">IF(O117&gt;=Summary!$L$6,"75%+ (all benefits)",IF(O117&gt;=Summary!$L$7,"55-74%",IF(O117&gt;=Summary!$L$8,"30-54%","Below 30%")))</f>
        <v>75%+ (all benefits)</v>
      </c>
      <c r="S117" s="39" t="n">
        <f aca="false">MAX(0,ROUNDUP(Summary!$L$6*(G117+Summary!$L$13)-E117,0))</f>
        <v>99</v>
      </c>
      <c r="T117" s="39" t="n">
        <f aca="false">MAX(0,ROUNDUP(Summary!$L$7*(G117+Summary!$L$13)-E117,0))</f>
        <v>4</v>
      </c>
      <c r="U117" s="39" t="n">
        <f aca="false">MAX(0,ROUNDUP(Summary!$L$8*(G117+Summary!$L$13)-E117,0))</f>
        <v>0</v>
      </c>
    </row>
    <row r="118" customFormat="false" ht="15" hidden="false" customHeight="false" outlineLevel="0" collapsed="false">
      <c r="A118" s="12" t="n">
        <v>113</v>
      </c>
      <c r="B118" s="12" t="s">
        <v>26</v>
      </c>
      <c r="C118" s="12" t="s">
        <v>329</v>
      </c>
      <c r="D118" s="32" t="s">
        <v>330</v>
      </c>
      <c r="E118" s="12" t="n">
        <v>235</v>
      </c>
      <c r="F118" s="12" t="n">
        <v>126</v>
      </c>
      <c r="G118" s="12" t="n">
        <v>361</v>
      </c>
      <c r="H118" s="36" t="n">
        <f aca="false">ROUND(E118/G118*100,0)/100</f>
        <v>0.65</v>
      </c>
      <c r="I118" s="12" t="str">
        <f aca="false">IF(H118&gt;=Summary!$L$6,"Eligible","Shortage")</f>
        <v>Shortage</v>
      </c>
      <c r="J118" s="12" t="str">
        <f aca="false">IF(H118&lt;Summary!$L$8,"YES","No")</f>
        <v>No</v>
      </c>
      <c r="K118" s="12" t="str">
        <f aca="false">IF(H118&gt;=Summary!$L$7,"Counted","Not Counted")</f>
        <v>Counted</v>
      </c>
      <c r="L118" s="17" t="n">
        <f aca="false">IF(H118&gt;=Summary!$L$6,20,ROUND(H118/Summary!$L$6*10,1)*2)</f>
        <v>17.4</v>
      </c>
      <c r="M118" s="37" t="n">
        <f aca="false">20-L118</f>
        <v>2.6</v>
      </c>
      <c r="N118" s="12" t="str">
        <f aca="false">IF(H118&gt;=Summary!$L$6,"75%+ (all benefits)",IF(H118&gt;=Summary!$L$7,"55-74%",IF(H118&gt;=Summary!$L$8,"30-54%","Below 30%")))</f>
        <v>55-74%</v>
      </c>
      <c r="O118" s="13" t="n">
        <f aca="false">(E118+Summary!$L$13)/(G118+Summary!$L$13)</f>
        <v>0.734177215189873</v>
      </c>
      <c r="P118" s="17" t="n">
        <f aca="false">IF(O118&gt;=Summary!$L$6,20,ROUND(O118/Summary!$L$6*10,1)*2)</f>
        <v>19.6</v>
      </c>
      <c r="Q118" s="38" t="n">
        <f aca="false">P118-L118</f>
        <v>2.2</v>
      </c>
      <c r="R118" s="12" t="str">
        <f aca="false">IF(O118&gt;=Summary!$L$6,"75%+ (all benefits)",IF(O118&gt;=Summary!$L$7,"55-74%",IF(O118&gt;=Summary!$L$8,"30-54%","Below 30%")))</f>
        <v>55-74%</v>
      </c>
      <c r="S118" s="39" t="n">
        <f aca="false">MAX(0,ROUNDUP(Summary!$L$6*(G118+Summary!$L$13)-E118,0))</f>
        <v>121</v>
      </c>
      <c r="T118" s="39" t="n">
        <f aca="false">MAX(0,ROUNDUP(Summary!$L$7*(G118+Summary!$L$13)-E118,0))</f>
        <v>26</v>
      </c>
      <c r="U118" s="39" t="n">
        <f aca="false">MAX(0,ROUNDUP(Summary!$L$8*(G118+Summary!$L$13)-E118,0))</f>
        <v>0</v>
      </c>
    </row>
    <row r="119" customFormat="false" ht="15" hidden="false" customHeight="false" outlineLevel="0" collapsed="false">
      <c r="A119" s="40" t="n">
        <v>114</v>
      </c>
      <c r="B119" s="40" t="s">
        <v>26</v>
      </c>
      <c r="C119" s="40" t="s">
        <v>331</v>
      </c>
      <c r="D119" s="41" t="s">
        <v>332</v>
      </c>
      <c r="E119" s="40" t="n">
        <v>215</v>
      </c>
      <c r="F119" s="40" t="n">
        <v>146</v>
      </c>
      <c r="G119" s="40" t="n">
        <v>361</v>
      </c>
      <c r="H119" s="36" t="n">
        <f aca="false">ROUND(E119/G119*100,0)/100</f>
        <v>0.6</v>
      </c>
      <c r="I119" s="12" t="str">
        <f aca="false">IF(H119&gt;=Summary!$L$6,"Eligible","Shortage")</f>
        <v>Shortage</v>
      </c>
      <c r="J119" s="12" t="str">
        <f aca="false">IF(H119&lt;Summary!$L$8,"YES","No")</f>
        <v>No</v>
      </c>
      <c r="K119" s="12" t="str">
        <f aca="false">IF(H119&gt;=Summary!$L$7,"Counted","Not Counted")</f>
        <v>Counted</v>
      </c>
      <c r="L119" s="17" t="n">
        <f aca="false">IF(H119&gt;=Summary!$L$6,20,ROUND(H119/Summary!$L$6*10,1)*2)</f>
        <v>16</v>
      </c>
      <c r="M119" s="37" t="n">
        <f aca="false">20-L119</f>
        <v>4</v>
      </c>
      <c r="N119" s="12" t="str">
        <f aca="false">IF(H119&gt;=Summary!$L$6,"75%+ (all benefits)",IF(H119&gt;=Summary!$L$7,"55-74%",IF(H119&gt;=Summary!$L$8,"30-54%","Below 30%")))</f>
        <v>55-74%</v>
      </c>
      <c r="O119" s="13" t="n">
        <f aca="false">(E119+Summary!$L$13)/(G119+Summary!$L$13)</f>
        <v>0.691983122362869</v>
      </c>
      <c r="P119" s="17" t="n">
        <f aca="false">IF(O119&gt;=Summary!$L$6,20,ROUND(O119/Summary!$L$6*10,1)*2)</f>
        <v>18.4</v>
      </c>
      <c r="Q119" s="38" t="n">
        <f aca="false">P119-L119</f>
        <v>2.4</v>
      </c>
      <c r="R119" s="12" t="str">
        <f aca="false">IF(O119&gt;=Summary!$L$6,"75%+ (all benefits)",IF(O119&gt;=Summary!$L$7,"55-74%",IF(O119&gt;=Summary!$L$8,"30-54%","Below 30%")))</f>
        <v>55-74%</v>
      </c>
      <c r="S119" s="39" t="n">
        <f aca="false">MAX(0,ROUNDUP(Summary!$L$6*(G119+Summary!$L$13)-E119,0))</f>
        <v>141</v>
      </c>
      <c r="T119" s="39" t="n">
        <f aca="false">MAX(0,ROUNDUP(Summary!$L$7*(G119+Summary!$L$13)-E119,0))</f>
        <v>46</v>
      </c>
      <c r="U119" s="39" t="n">
        <f aca="false">MAX(0,ROUNDUP(Summary!$L$8*(G119+Summary!$L$13)-E119,0))</f>
        <v>0</v>
      </c>
    </row>
    <row r="120" customFormat="false" ht="15" hidden="false" customHeight="false" outlineLevel="0" collapsed="false">
      <c r="A120" s="12" t="n">
        <v>115</v>
      </c>
      <c r="B120" s="12" t="s">
        <v>26</v>
      </c>
      <c r="C120" s="12" t="s">
        <v>333</v>
      </c>
      <c r="D120" s="32" t="s">
        <v>334</v>
      </c>
      <c r="E120" s="12" t="n">
        <v>309</v>
      </c>
      <c r="F120" s="12" t="n">
        <v>52</v>
      </c>
      <c r="G120" s="12" t="n">
        <v>361</v>
      </c>
      <c r="H120" s="36" t="n">
        <f aca="false">ROUND(E120/G120*100,0)/100</f>
        <v>0.86</v>
      </c>
      <c r="I120" s="12" t="str">
        <f aca="false">IF(H120&gt;=Summary!$L$6,"Eligible","Shortage")</f>
        <v>Eligible</v>
      </c>
      <c r="J120" s="12" t="str">
        <f aca="false">IF(H120&lt;Summary!$L$8,"YES","No")</f>
        <v>No</v>
      </c>
      <c r="K120" s="12" t="str">
        <f aca="false">IF(H120&gt;=Summary!$L$7,"Counted","Not Counted")</f>
        <v>Counted</v>
      </c>
      <c r="L120" s="17" t="n">
        <f aca="false">IF(H120&gt;=Summary!$L$6,20,ROUND(H120/Summary!$L$6*10,1)*2)</f>
        <v>20</v>
      </c>
      <c r="M120" s="37" t="n">
        <f aca="false">20-L120</f>
        <v>0</v>
      </c>
      <c r="N120" s="12" t="str">
        <f aca="false">IF(H120&gt;=Summary!$L$6,"75%+ (all benefits)",IF(H120&gt;=Summary!$L$7,"55-74%",IF(H120&gt;=Summary!$L$8,"30-54%","Below 30%")))</f>
        <v>75%+ (all benefits)</v>
      </c>
      <c r="O120" s="13" t="n">
        <f aca="false">(E120+Summary!$L$13)/(G120+Summary!$L$13)</f>
        <v>0.890295358649789</v>
      </c>
      <c r="P120" s="17" t="n">
        <f aca="false">IF(O120&gt;=Summary!$L$6,20,ROUND(O120/Summary!$L$6*10,1)*2)</f>
        <v>20</v>
      </c>
      <c r="Q120" s="38" t="n">
        <f aca="false">P120-L120</f>
        <v>0</v>
      </c>
      <c r="R120" s="12" t="str">
        <f aca="false">IF(O120&gt;=Summary!$L$6,"75%+ (all benefits)",IF(O120&gt;=Summary!$L$7,"55-74%",IF(O120&gt;=Summary!$L$8,"30-54%","Below 30%")))</f>
        <v>75%+ (all benefits)</v>
      </c>
      <c r="S120" s="39" t="n">
        <f aca="false">MAX(0,ROUNDUP(Summary!$L$6*(G120+Summary!$L$13)-E120,0))</f>
        <v>47</v>
      </c>
      <c r="T120" s="39" t="n">
        <f aca="false">MAX(0,ROUNDUP(Summary!$L$7*(G120+Summary!$L$13)-E120,0))</f>
        <v>0</v>
      </c>
      <c r="U120" s="39" t="n">
        <f aca="false">MAX(0,ROUNDUP(Summary!$L$8*(G120+Summary!$L$13)-E120,0))</f>
        <v>0</v>
      </c>
    </row>
    <row r="121" customFormat="false" ht="15" hidden="false" customHeight="false" outlineLevel="0" collapsed="false">
      <c r="A121" s="40" t="n">
        <v>116</v>
      </c>
      <c r="B121" s="40" t="s">
        <v>26</v>
      </c>
      <c r="C121" s="40" t="s">
        <v>335</v>
      </c>
      <c r="D121" s="41" t="s">
        <v>336</v>
      </c>
      <c r="E121" s="40" t="n">
        <v>230</v>
      </c>
      <c r="F121" s="40" t="n">
        <v>131</v>
      </c>
      <c r="G121" s="40" t="n">
        <v>361</v>
      </c>
      <c r="H121" s="36" t="n">
        <f aca="false">ROUND(E121/G121*100,0)/100</f>
        <v>0.64</v>
      </c>
      <c r="I121" s="12" t="str">
        <f aca="false">IF(H121&gt;=Summary!$L$6,"Eligible","Shortage")</f>
        <v>Shortage</v>
      </c>
      <c r="J121" s="12" t="str">
        <f aca="false">IF(H121&lt;Summary!$L$8,"YES","No")</f>
        <v>No</v>
      </c>
      <c r="K121" s="12" t="str">
        <f aca="false">IF(H121&gt;=Summary!$L$7,"Counted","Not Counted")</f>
        <v>Counted</v>
      </c>
      <c r="L121" s="17" t="n">
        <f aca="false">IF(H121&gt;=Summary!$L$6,20,ROUND(H121/Summary!$L$6*10,1)*2)</f>
        <v>17</v>
      </c>
      <c r="M121" s="37" t="n">
        <f aca="false">20-L121</f>
        <v>3</v>
      </c>
      <c r="N121" s="12" t="str">
        <f aca="false">IF(H121&gt;=Summary!$L$6,"75%+ (all benefits)",IF(H121&gt;=Summary!$L$7,"55-74%",IF(H121&gt;=Summary!$L$8,"30-54%","Below 30%")))</f>
        <v>55-74%</v>
      </c>
      <c r="O121" s="13" t="n">
        <f aca="false">(E121+Summary!$L$13)/(G121+Summary!$L$13)</f>
        <v>0.723628691983122</v>
      </c>
      <c r="P121" s="17" t="n">
        <f aca="false">IF(O121&gt;=Summary!$L$6,20,ROUND(O121/Summary!$L$6*10,1)*2)</f>
        <v>19.2</v>
      </c>
      <c r="Q121" s="38" t="n">
        <f aca="false">P121-L121</f>
        <v>2.2</v>
      </c>
      <c r="R121" s="12" t="str">
        <f aca="false">IF(O121&gt;=Summary!$L$6,"75%+ (all benefits)",IF(O121&gt;=Summary!$L$7,"55-74%",IF(O121&gt;=Summary!$L$8,"30-54%","Below 30%")))</f>
        <v>55-74%</v>
      </c>
      <c r="S121" s="39" t="n">
        <f aca="false">MAX(0,ROUNDUP(Summary!$L$6*(G121+Summary!$L$13)-E121,0))</f>
        <v>126</v>
      </c>
      <c r="T121" s="39" t="n">
        <f aca="false">MAX(0,ROUNDUP(Summary!$L$7*(G121+Summary!$L$13)-E121,0))</f>
        <v>31</v>
      </c>
      <c r="U121" s="39" t="n">
        <f aca="false">MAX(0,ROUNDUP(Summary!$L$8*(G121+Summary!$L$13)-E121,0))</f>
        <v>0</v>
      </c>
    </row>
    <row r="122" customFormat="false" ht="15" hidden="false" customHeight="false" outlineLevel="0" collapsed="false">
      <c r="A122" s="12" t="n">
        <v>117</v>
      </c>
      <c r="B122" s="12" t="s">
        <v>26</v>
      </c>
      <c r="C122" s="12" t="s">
        <v>337</v>
      </c>
      <c r="D122" s="32" t="s">
        <v>338</v>
      </c>
      <c r="E122" s="12" t="n">
        <v>269</v>
      </c>
      <c r="F122" s="12" t="n">
        <v>92</v>
      </c>
      <c r="G122" s="12" t="n">
        <v>361</v>
      </c>
      <c r="H122" s="36" t="n">
        <f aca="false">ROUND(E122/G122*100,0)/100</f>
        <v>0.75</v>
      </c>
      <c r="I122" s="12" t="str">
        <f aca="false">IF(H122&gt;=Summary!$L$6,"Eligible","Shortage")</f>
        <v>Eligible</v>
      </c>
      <c r="J122" s="12" t="str">
        <f aca="false">IF(H122&lt;Summary!$L$8,"YES","No")</f>
        <v>No</v>
      </c>
      <c r="K122" s="12" t="str">
        <f aca="false">IF(H122&gt;=Summary!$L$7,"Counted","Not Counted")</f>
        <v>Counted</v>
      </c>
      <c r="L122" s="17" t="n">
        <f aca="false">IF(H122&gt;=Summary!$L$6,20,ROUND(H122/Summary!$L$6*10,1)*2)</f>
        <v>20</v>
      </c>
      <c r="M122" s="37" t="n">
        <f aca="false">20-L122</f>
        <v>0</v>
      </c>
      <c r="N122" s="12" t="str">
        <f aca="false">IF(H122&gt;=Summary!$L$6,"75%+ (all benefits)",IF(H122&gt;=Summary!$L$7,"55-74%",IF(H122&gt;=Summary!$L$8,"30-54%","Below 30%")))</f>
        <v>75%+ (all benefits)</v>
      </c>
      <c r="O122" s="13" t="n">
        <f aca="false">(E122+Summary!$L$13)/(G122+Summary!$L$13)</f>
        <v>0.805907172995781</v>
      </c>
      <c r="P122" s="17" t="n">
        <f aca="false">IF(O122&gt;=Summary!$L$6,20,ROUND(O122/Summary!$L$6*10,1)*2)</f>
        <v>20</v>
      </c>
      <c r="Q122" s="38" t="n">
        <f aca="false">P122-L122</f>
        <v>0</v>
      </c>
      <c r="R122" s="12" t="str">
        <f aca="false">IF(O122&gt;=Summary!$L$6,"75%+ (all benefits)",IF(O122&gt;=Summary!$L$7,"55-74%",IF(O122&gt;=Summary!$L$8,"30-54%","Below 30%")))</f>
        <v>75%+ (all benefits)</v>
      </c>
      <c r="S122" s="39" t="n">
        <f aca="false">MAX(0,ROUNDUP(Summary!$L$6*(G122+Summary!$L$13)-E122,0))</f>
        <v>87</v>
      </c>
      <c r="T122" s="39" t="n">
        <f aca="false">MAX(0,ROUNDUP(Summary!$L$7*(G122+Summary!$L$13)-E122,0))</f>
        <v>0</v>
      </c>
      <c r="U122" s="39" t="n">
        <f aca="false">MAX(0,ROUNDUP(Summary!$L$8*(G122+Summary!$L$13)-E122,0))</f>
        <v>0</v>
      </c>
    </row>
    <row r="123" customFormat="false" ht="15" hidden="false" customHeight="false" outlineLevel="0" collapsed="false">
      <c r="A123" s="40" t="n">
        <v>118</v>
      </c>
      <c r="B123" s="40" t="s">
        <v>26</v>
      </c>
      <c r="C123" s="40" t="s">
        <v>339</v>
      </c>
      <c r="D123" s="41" t="s">
        <v>340</v>
      </c>
      <c r="E123" s="40" t="n">
        <v>230</v>
      </c>
      <c r="F123" s="40" t="n">
        <v>131</v>
      </c>
      <c r="G123" s="40" t="n">
        <v>361</v>
      </c>
      <c r="H123" s="36" t="n">
        <f aca="false">ROUND(E123/G123*100,0)/100</f>
        <v>0.64</v>
      </c>
      <c r="I123" s="12" t="str">
        <f aca="false">IF(H123&gt;=Summary!$L$6,"Eligible","Shortage")</f>
        <v>Shortage</v>
      </c>
      <c r="J123" s="12" t="str">
        <f aca="false">IF(H123&lt;Summary!$L$8,"YES","No")</f>
        <v>No</v>
      </c>
      <c r="K123" s="12" t="str">
        <f aca="false">IF(H123&gt;=Summary!$L$7,"Counted","Not Counted")</f>
        <v>Counted</v>
      </c>
      <c r="L123" s="17" t="n">
        <f aca="false">IF(H123&gt;=Summary!$L$6,20,ROUND(H123/Summary!$L$6*10,1)*2)</f>
        <v>17</v>
      </c>
      <c r="M123" s="37" t="n">
        <f aca="false">20-L123</f>
        <v>3</v>
      </c>
      <c r="N123" s="12" t="str">
        <f aca="false">IF(H123&gt;=Summary!$L$6,"75%+ (all benefits)",IF(H123&gt;=Summary!$L$7,"55-74%",IF(H123&gt;=Summary!$L$8,"30-54%","Below 30%")))</f>
        <v>55-74%</v>
      </c>
      <c r="O123" s="13" t="n">
        <f aca="false">(E123+Summary!$L$13)/(G123+Summary!$L$13)</f>
        <v>0.723628691983122</v>
      </c>
      <c r="P123" s="17" t="n">
        <f aca="false">IF(O123&gt;=Summary!$L$6,20,ROUND(O123/Summary!$L$6*10,1)*2)</f>
        <v>19.2</v>
      </c>
      <c r="Q123" s="38" t="n">
        <f aca="false">P123-L123</f>
        <v>2.2</v>
      </c>
      <c r="R123" s="12" t="str">
        <f aca="false">IF(O123&gt;=Summary!$L$6,"75%+ (all benefits)",IF(O123&gt;=Summary!$L$7,"55-74%",IF(O123&gt;=Summary!$L$8,"30-54%","Below 30%")))</f>
        <v>55-74%</v>
      </c>
      <c r="S123" s="39" t="n">
        <f aca="false">MAX(0,ROUNDUP(Summary!$L$6*(G123+Summary!$L$13)-E123,0))</f>
        <v>126</v>
      </c>
      <c r="T123" s="39" t="n">
        <f aca="false">MAX(0,ROUNDUP(Summary!$L$7*(G123+Summary!$L$13)-E123,0))</f>
        <v>31</v>
      </c>
      <c r="U123" s="39" t="n">
        <f aca="false">MAX(0,ROUNDUP(Summary!$L$8*(G123+Summary!$L$13)-E123,0))</f>
        <v>0</v>
      </c>
    </row>
    <row r="124" customFormat="false" ht="15" hidden="false" customHeight="false" outlineLevel="0" collapsed="false">
      <c r="A124" s="12" t="n">
        <v>119</v>
      </c>
      <c r="B124" s="12" t="s">
        <v>26</v>
      </c>
      <c r="C124" s="12" t="s">
        <v>341</v>
      </c>
      <c r="D124" s="32" t="s">
        <v>342</v>
      </c>
      <c r="E124" s="12" t="n">
        <v>116</v>
      </c>
      <c r="F124" s="12" t="n">
        <v>245</v>
      </c>
      <c r="G124" s="12" t="n">
        <v>361</v>
      </c>
      <c r="H124" s="36" t="n">
        <f aca="false">ROUND(E124/G124*100,0)/100</f>
        <v>0.32</v>
      </c>
      <c r="I124" s="12" t="str">
        <f aca="false">IF(H124&gt;=Summary!$L$6,"Eligible","Shortage")</f>
        <v>Shortage</v>
      </c>
      <c r="J124" s="12" t="str">
        <f aca="false">IF(H124&lt;Summary!$L$8,"YES","No")</f>
        <v>No</v>
      </c>
      <c r="K124" s="12" t="str">
        <f aca="false">IF(H124&gt;=Summary!$L$7,"Counted","Not Counted")</f>
        <v>Not Counted</v>
      </c>
      <c r="L124" s="17" t="n">
        <f aca="false">IF(H124&gt;=Summary!$L$6,20,ROUND(H124/Summary!$L$6*10,1)*2)</f>
        <v>8.6</v>
      </c>
      <c r="M124" s="37" t="n">
        <f aca="false">20-L124</f>
        <v>11.4</v>
      </c>
      <c r="N124" s="12" t="str">
        <f aca="false">IF(H124&gt;=Summary!$L$6,"75%+ (all benefits)",IF(H124&gt;=Summary!$L$7,"55-74%",IF(H124&gt;=Summary!$L$8,"30-54%","Below 30%")))</f>
        <v>30-54%</v>
      </c>
      <c r="O124" s="13" t="n">
        <f aca="false">(E124+Summary!$L$13)/(G124+Summary!$L$13)</f>
        <v>0.483122362869198</v>
      </c>
      <c r="P124" s="17" t="n">
        <f aca="false">IF(O124&gt;=Summary!$L$6,20,ROUND(O124/Summary!$L$6*10,1)*2)</f>
        <v>12.8</v>
      </c>
      <c r="Q124" s="38" t="n">
        <f aca="false">P124-L124</f>
        <v>4.2</v>
      </c>
      <c r="R124" s="12" t="str">
        <f aca="false">IF(O124&gt;=Summary!$L$6,"75%+ (all benefits)",IF(O124&gt;=Summary!$L$7,"55-74%",IF(O124&gt;=Summary!$L$8,"30-54%","Below 30%")))</f>
        <v>30-54%</v>
      </c>
      <c r="S124" s="39" t="n">
        <f aca="false">MAX(0,ROUNDUP(Summary!$L$6*(G124+Summary!$L$13)-E124,0))</f>
        <v>240</v>
      </c>
      <c r="T124" s="39" t="n">
        <f aca="false">MAX(0,ROUNDUP(Summary!$L$7*(G124+Summary!$L$13)-E124,0))</f>
        <v>145</v>
      </c>
      <c r="U124" s="39" t="n">
        <f aca="false">MAX(0,ROUNDUP(Summary!$L$8*(G124+Summary!$L$13)-E124,0))</f>
        <v>27</v>
      </c>
    </row>
    <row r="125" customFormat="false" ht="15" hidden="false" customHeight="false" outlineLevel="0" collapsed="false">
      <c r="A125" s="40" t="n">
        <v>120</v>
      </c>
      <c r="B125" s="40" t="s">
        <v>26</v>
      </c>
      <c r="C125" s="40" t="s">
        <v>343</v>
      </c>
      <c r="D125" s="41" t="s">
        <v>344</v>
      </c>
      <c r="E125" s="40" t="n">
        <v>204</v>
      </c>
      <c r="F125" s="40" t="n">
        <v>157</v>
      </c>
      <c r="G125" s="40" t="n">
        <v>361</v>
      </c>
      <c r="H125" s="36" t="n">
        <f aca="false">ROUND(E125/G125*100,0)/100</f>
        <v>0.57</v>
      </c>
      <c r="I125" s="12" t="str">
        <f aca="false">IF(H125&gt;=Summary!$L$6,"Eligible","Shortage")</f>
        <v>Shortage</v>
      </c>
      <c r="J125" s="12" t="str">
        <f aca="false">IF(H125&lt;Summary!$L$8,"YES","No")</f>
        <v>No</v>
      </c>
      <c r="K125" s="12" t="str">
        <f aca="false">IF(H125&gt;=Summary!$L$7,"Counted","Not Counted")</f>
        <v>Counted</v>
      </c>
      <c r="L125" s="17" t="n">
        <f aca="false">IF(H125&gt;=Summary!$L$6,20,ROUND(H125/Summary!$L$6*10,1)*2)</f>
        <v>15.2</v>
      </c>
      <c r="M125" s="37" t="n">
        <f aca="false">20-L125</f>
        <v>4.8</v>
      </c>
      <c r="N125" s="12" t="str">
        <f aca="false">IF(H125&gt;=Summary!$L$6,"75%+ (all benefits)",IF(H125&gt;=Summary!$L$7,"55-74%",IF(H125&gt;=Summary!$L$8,"30-54%","Below 30%")))</f>
        <v>55-74%</v>
      </c>
      <c r="O125" s="13" t="n">
        <f aca="false">(E125+Summary!$L$13)/(G125+Summary!$L$13)</f>
        <v>0.668776371308017</v>
      </c>
      <c r="P125" s="17" t="n">
        <f aca="false">IF(O125&gt;=Summary!$L$6,20,ROUND(O125/Summary!$L$6*10,1)*2)</f>
        <v>17.8</v>
      </c>
      <c r="Q125" s="38" t="n">
        <f aca="false">P125-L125</f>
        <v>2.6</v>
      </c>
      <c r="R125" s="12" t="str">
        <f aca="false">IF(O125&gt;=Summary!$L$6,"75%+ (all benefits)",IF(O125&gt;=Summary!$L$7,"55-74%",IF(O125&gt;=Summary!$L$8,"30-54%","Below 30%")))</f>
        <v>55-74%</v>
      </c>
      <c r="S125" s="39" t="n">
        <f aca="false">MAX(0,ROUNDUP(Summary!$L$6*(G125+Summary!$L$13)-E125,0))</f>
        <v>152</v>
      </c>
      <c r="T125" s="39" t="n">
        <f aca="false">MAX(0,ROUNDUP(Summary!$L$7*(G125+Summary!$L$13)-E125,0))</f>
        <v>57</v>
      </c>
      <c r="U125" s="39" t="n">
        <f aca="false">MAX(0,ROUNDUP(Summary!$L$8*(G125+Summary!$L$13)-E125,0))</f>
        <v>0</v>
      </c>
    </row>
    <row r="126" customFormat="false" ht="15" hidden="false" customHeight="false" outlineLevel="0" collapsed="false">
      <c r="A126" s="12" t="n">
        <v>121</v>
      </c>
      <c r="B126" s="12" t="s">
        <v>26</v>
      </c>
      <c r="C126" s="12" t="s">
        <v>345</v>
      </c>
      <c r="D126" s="32" t="s">
        <v>346</v>
      </c>
      <c r="E126" s="12" t="n">
        <v>214</v>
      </c>
      <c r="F126" s="12" t="n">
        <v>147</v>
      </c>
      <c r="G126" s="12" t="n">
        <v>361</v>
      </c>
      <c r="H126" s="36" t="n">
        <f aca="false">ROUND(E126/G126*100,0)/100</f>
        <v>0.59</v>
      </c>
      <c r="I126" s="12" t="str">
        <f aca="false">IF(H126&gt;=Summary!$L$6,"Eligible","Shortage")</f>
        <v>Shortage</v>
      </c>
      <c r="J126" s="12" t="str">
        <f aca="false">IF(H126&lt;Summary!$L$8,"YES","No")</f>
        <v>No</v>
      </c>
      <c r="K126" s="12" t="str">
        <f aca="false">IF(H126&gt;=Summary!$L$7,"Counted","Not Counted")</f>
        <v>Counted</v>
      </c>
      <c r="L126" s="17" t="n">
        <f aca="false">IF(H126&gt;=Summary!$L$6,20,ROUND(H126/Summary!$L$6*10,1)*2)</f>
        <v>15.8</v>
      </c>
      <c r="M126" s="37" t="n">
        <f aca="false">20-L126</f>
        <v>4.2</v>
      </c>
      <c r="N126" s="12" t="str">
        <f aca="false">IF(H126&gt;=Summary!$L$6,"75%+ (all benefits)",IF(H126&gt;=Summary!$L$7,"55-74%",IF(H126&gt;=Summary!$L$8,"30-54%","Below 30%")))</f>
        <v>55-74%</v>
      </c>
      <c r="O126" s="13" t="n">
        <f aca="false">(E126+Summary!$L$13)/(G126+Summary!$L$13)</f>
        <v>0.689873417721519</v>
      </c>
      <c r="P126" s="17" t="n">
        <f aca="false">IF(O126&gt;=Summary!$L$6,20,ROUND(O126/Summary!$L$6*10,1)*2)</f>
        <v>18.4</v>
      </c>
      <c r="Q126" s="38" t="n">
        <f aca="false">P126-L126</f>
        <v>2.6</v>
      </c>
      <c r="R126" s="12" t="str">
        <f aca="false">IF(O126&gt;=Summary!$L$6,"75%+ (all benefits)",IF(O126&gt;=Summary!$L$7,"55-74%",IF(O126&gt;=Summary!$L$8,"30-54%","Below 30%")))</f>
        <v>55-74%</v>
      </c>
      <c r="S126" s="39" t="n">
        <f aca="false">MAX(0,ROUNDUP(Summary!$L$6*(G126+Summary!$L$13)-E126,0))</f>
        <v>142</v>
      </c>
      <c r="T126" s="39" t="n">
        <f aca="false">MAX(0,ROUNDUP(Summary!$L$7*(G126+Summary!$L$13)-E126,0))</f>
        <v>47</v>
      </c>
      <c r="U126" s="39" t="n">
        <f aca="false">MAX(0,ROUNDUP(Summary!$L$8*(G126+Summary!$L$13)-E126,0))</f>
        <v>0</v>
      </c>
    </row>
    <row r="127" customFormat="false" ht="15" hidden="false" customHeight="false" outlineLevel="0" collapsed="false">
      <c r="A127" s="40" t="n">
        <v>122</v>
      </c>
      <c r="B127" s="40" t="s">
        <v>26</v>
      </c>
      <c r="C127" s="40" t="s">
        <v>347</v>
      </c>
      <c r="D127" s="41" t="s">
        <v>348</v>
      </c>
      <c r="E127" s="40" t="n">
        <v>270</v>
      </c>
      <c r="F127" s="40" t="n">
        <v>91</v>
      </c>
      <c r="G127" s="40" t="n">
        <v>361</v>
      </c>
      <c r="H127" s="36" t="n">
        <f aca="false">ROUND(E127/G127*100,0)/100</f>
        <v>0.75</v>
      </c>
      <c r="I127" s="12" t="str">
        <f aca="false">IF(H127&gt;=Summary!$L$6,"Eligible","Shortage")</f>
        <v>Eligible</v>
      </c>
      <c r="J127" s="12" t="str">
        <f aca="false">IF(H127&lt;Summary!$L$8,"YES","No")</f>
        <v>No</v>
      </c>
      <c r="K127" s="12" t="str">
        <f aca="false">IF(H127&gt;=Summary!$L$7,"Counted","Not Counted")</f>
        <v>Counted</v>
      </c>
      <c r="L127" s="17" t="n">
        <f aca="false">IF(H127&gt;=Summary!$L$6,20,ROUND(H127/Summary!$L$6*10,1)*2)</f>
        <v>20</v>
      </c>
      <c r="M127" s="37" t="n">
        <f aca="false">20-L127</f>
        <v>0</v>
      </c>
      <c r="N127" s="12" t="str">
        <f aca="false">IF(H127&gt;=Summary!$L$6,"75%+ (all benefits)",IF(H127&gt;=Summary!$L$7,"55-74%",IF(H127&gt;=Summary!$L$8,"30-54%","Below 30%")))</f>
        <v>75%+ (all benefits)</v>
      </c>
      <c r="O127" s="13" t="n">
        <f aca="false">(E127+Summary!$L$13)/(G127+Summary!$L$13)</f>
        <v>0.808016877637131</v>
      </c>
      <c r="P127" s="17" t="n">
        <f aca="false">IF(O127&gt;=Summary!$L$6,20,ROUND(O127/Summary!$L$6*10,1)*2)</f>
        <v>20</v>
      </c>
      <c r="Q127" s="38" t="n">
        <f aca="false">P127-L127</f>
        <v>0</v>
      </c>
      <c r="R127" s="12" t="str">
        <f aca="false">IF(O127&gt;=Summary!$L$6,"75%+ (all benefits)",IF(O127&gt;=Summary!$L$7,"55-74%",IF(O127&gt;=Summary!$L$8,"30-54%","Below 30%")))</f>
        <v>75%+ (all benefits)</v>
      </c>
      <c r="S127" s="39" t="n">
        <f aca="false">MAX(0,ROUNDUP(Summary!$L$6*(G127+Summary!$L$13)-E127,0))</f>
        <v>86</v>
      </c>
      <c r="T127" s="39" t="n">
        <f aca="false">MAX(0,ROUNDUP(Summary!$L$7*(G127+Summary!$L$13)-E127,0))</f>
        <v>0</v>
      </c>
      <c r="U127" s="39" t="n">
        <f aca="false">MAX(0,ROUNDUP(Summary!$L$8*(G127+Summary!$L$13)-E127,0))</f>
        <v>0</v>
      </c>
    </row>
    <row r="128" customFormat="false" ht="15" hidden="false" customHeight="false" outlineLevel="0" collapsed="false">
      <c r="A128" s="12" t="n">
        <v>123</v>
      </c>
      <c r="B128" s="12" t="s">
        <v>26</v>
      </c>
      <c r="C128" s="12" t="s">
        <v>349</v>
      </c>
      <c r="D128" s="32" t="s">
        <v>350</v>
      </c>
      <c r="E128" s="12" t="n">
        <v>225</v>
      </c>
      <c r="F128" s="12" t="n">
        <v>136</v>
      </c>
      <c r="G128" s="12" t="n">
        <v>361</v>
      </c>
      <c r="H128" s="36" t="n">
        <f aca="false">ROUND(E128/G128*100,0)/100</f>
        <v>0.62</v>
      </c>
      <c r="I128" s="12" t="str">
        <f aca="false">IF(H128&gt;=Summary!$L$6,"Eligible","Shortage")</f>
        <v>Shortage</v>
      </c>
      <c r="J128" s="12" t="str">
        <f aca="false">IF(H128&lt;Summary!$L$8,"YES","No")</f>
        <v>No</v>
      </c>
      <c r="K128" s="12" t="str">
        <f aca="false">IF(H128&gt;=Summary!$L$7,"Counted","Not Counted")</f>
        <v>Counted</v>
      </c>
      <c r="L128" s="17" t="n">
        <f aca="false">IF(H128&gt;=Summary!$L$6,20,ROUND(H128/Summary!$L$6*10,1)*2)</f>
        <v>16.6</v>
      </c>
      <c r="M128" s="37" t="n">
        <f aca="false">20-L128</f>
        <v>3.4</v>
      </c>
      <c r="N128" s="12" t="str">
        <f aca="false">IF(H128&gt;=Summary!$L$6,"75%+ (all benefits)",IF(H128&gt;=Summary!$L$7,"55-74%",IF(H128&gt;=Summary!$L$8,"30-54%","Below 30%")))</f>
        <v>55-74%</v>
      </c>
      <c r="O128" s="13" t="n">
        <f aca="false">(E128+Summary!$L$13)/(G128+Summary!$L$13)</f>
        <v>0.713080168776371</v>
      </c>
      <c r="P128" s="17" t="n">
        <f aca="false">IF(O128&gt;=Summary!$L$6,20,ROUND(O128/Summary!$L$6*10,1)*2)</f>
        <v>19</v>
      </c>
      <c r="Q128" s="38" t="n">
        <f aca="false">P128-L128</f>
        <v>2.4</v>
      </c>
      <c r="R128" s="12" t="str">
        <f aca="false">IF(O128&gt;=Summary!$L$6,"75%+ (all benefits)",IF(O128&gt;=Summary!$L$7,"55-74%",IF(O128&gt;=Summary!$L$8,"30-54%","Below 30%")))</f>
        <v>55-74%</v>
      </c>
      <c r="S128" s="39" t="n">
        <f aca="false">MAX(0,ROUNDUP(Summary!$L$6*(G128+Summary!$L$13)-E128,0))</f>
        <v>131</v>
      </c>
      <c r="T128" s="39" t="n">
        <f aca="false">MAX(0,ROUNDUP(Summary!$L$7*(G128+Summary!$L$13)-E128,0))</f>
        <v>36</v>
      </c>
      <c r="U128" s="39" t="n">
        <f aca="false">MAX(0,ROUNDUP(Summary!$L$8*(G128+Summary!$L$13)-E128,0))</f>
        <v>0</v>
      </c>
    </row>
    <row r="129" customFormat="false" ht="15" hidden="false" customHeight="false" outlineLevel="0" collapsed="false">
      <c r="A129" s="40" t="n">
        <v>124</v>
      </c>
      <c r="B129" s="40" t="s">
        <v>27</v>
      </c>
      <c r="C129" s="40" t="s">
        <v>351</v>
      </c>
      <c r="D129" s="41" t="s">
        <v>352</v>
      </c>
      <c r="E129" s="40" t="n">
        <v>286</v>
      </c>
      <c r="F129" s="40" t="n">
        <v>75</v>
      </c>
      <c r="G129" s="40" t="n">
        <v>361</v>
      </c>
      <c r="H129" s="36" t="n">
        <f aca="false">ROUND(E129/G129*100,0)/100</f>
        <v>0.79</v>
      </c>
      <c r="I129" s="12" t="str">
        <f aca="false">IF(H129&gt;=Summary!$L$6,"Eligible","Shortage")</f>
        <v>Eligible</v>
      </c>
      <c r="J129" s="12" t="str">
        <f aca="false">IF(H129&lt;Summary!$L$8,"YES","No")</f>
        <v>No</v>
      </c>
      <c r="K129" s="12" t="str">
        <f aca="false">IF(H129&gt;=Summary!$L$7,"Counted","Not Counted")</f>
        <v>Counted</v>
      </c>
      <c r="L129" s="17" t="n">
        <f aca="false">IF(H129&gt;=Summary!$L$6,20,ROUND(H129/Summary!$L$6*10,1)*2)</f>
        <v>20</v>
      </c>
      <c r="M129" s="37" t="n">
        <f aca="false">20-L129</f>
        <v>0</v>
      </c>
      <c r="N129" s="12" t="str">
        <f aca="false">IF(H129&gt;=Summary!$L$6,"75%+ (all benefits)",IF(H129&gt;=Summary!$L$7,"55-74%",IF(H129&gt;=Summary!$L$8,"30-54%","Below 30%")))</f>
        <v>75%+ (all benefits)</v>
      </c>
      <c r="O129" s="13" t="n">
        <f aca="false">(E129+Summary!$L$13)/(G129+Summary!$L$13)</f>
        <v>0.841772151898734</v>
      </c>
      <c r="P129" s="17" t="n">
        <f aca="false">IF(O129&gt;=Summary!$L$6,20,ROUND(O129/Summary!$L$6*10,1)*2)</f>
        <v>20</v>
      </c>
      <c r="Q129" s="38" t="n">
        <f aca="false">P129-L129</f>
        <v>0</v>
      </c>
      <c r="R129" s="12" t="str">
        <f aca="false">IF(O129&gt;=Summary!$L$6,"75%+ (all benefits)",IF(O129&gt;=Summary!$L$7,"55-74%",IF(O129&gt;=Summary!$L$8,"30-54%","Below 30%")))</f>
        <v>75%+ (all benefits)</v>
      </c>
      <c r="S129" s="39" t="n">
        <f aca="false">MAX(0,ROUNDUP(Summary!$L$6*(G129+Summary!$L$13)-E129,0))</f>
        <v>70</v>
      </c>
      <c r="T129" s="39" t="n">
        <f aca="false">MAX(0,ROUNDUP(Summary!$L$7*(G129+Summary!$L$13)-E129,0))</f>
        <v>0</v>
      </c>
      <c r="U129" s="39" t="n">
        <f aca="false">MAX(0,ROUNDUP(Summary!$L$8*(G129+Summary!$L$13)-E129,0))</f>
        <v>0</v>
      </c>
    </row>
    <row r="130" customFormat="false" ht="15" hidden="false" customHeight="false" outlineLevel="0" collapsed="false">
      <c r="A130" s="12" t="n">
        <v>125</v>
      </c>
      <c r="B130" s="12" t="s">
        <v>27</v>
      </c>
      <c r="C130" s="12" t="s">
        <v>353</v>
      </c>
      <c r="D130" s="32" t="s">
        <v>354</v>
      </c>
      <c r="E130" s="12" t="n">
        <v>307</v>
      </c>
      <c r="F130" s="12" t="n">
        <v>54</v>
      </c>
      <c r="G130" s="12" t="n">
        <v>361</v>
      </c>
      <c r="H130" s="36" t="n">
        <f aca="false">ROUND(E130/G130*100,0)/100</f>
        <v>0.85</v>
      </c>
      <c r="I130" s="12" t="str">
        <f aca="false">IF(H130&gt;=Summary!$L$6,"Eligible","Shortage")</f>
        <v>Eligible</v>
      </c>
      <c r="J130" s="12" t="str">
        <f aca="false">IF(H130&lt;Summary!$L$8,"YES","No")</f>
        <v>No</v>
      </c>
      <c r="K130" s="12" t="str">
        <f aca="false">IF(H130&gt;=Summary!$L$7,"Counted","Not Counted")</f>
        <v>Counted</v>
      </c>
      <c r="L130" s="17" t="n">
        <f aca="false">IF(H130&gt;=Summary!$L$6,20,ROUND(H130/Summary!$L$6*10,1)*2)</f>
        <v>20</v>
      </c>
      <c r="M130" s="37" t="n">
        <f aca="false">20-L130</f>
        <v>0</v>
      </c>
      <c r="N130" s="12" t="str">
        <f aca="false">IF(H130&gt;=Summary!$L$6,"75%+ (all benefits)",IF(H130&gt;=Summary!$L$7,"55-74%",IF(H130&gt;=Summary!$L$8,"30-54%","Below 30%")))</f>
        <v>75%+ (all benefits)</v>
      </c>
      <c r="O130" s="13" t="n">
        <f aca="false">(E130+Summary!$L$13)/(G130+Summary!$L$13)</f>
        <v>0.886075949367089</v>
      </c>
      <c r="P130" s="17" t="n">
        <f aca="false">IF(O130&gt;=Summary!$L$6,20,ROUND(O130/Summary!$L$6*10,1)*2)</f>
        <v>20</v>
      </c>
      <c r="Q130" s="38" t="n">
        <f aca="false">P130-L130</f>
        <v>0</v>
      </c>
      <c r="R130" s="12" t="str">
        <f aca="false">IF(O130&gt;=Summary!$L$6,"75%+ (all benefits)",IF(O130&gt;=Summary!$L$7,"55-74%",IF(O130&gt;=Summary!$L$8,"30-54%","Below 30%")))</f>
        <v>75%+ (all benefits)</v>
      </c>
      <c r="S130" s="39" t="n">
        <f aca="false">MAX(0,ROUNDUP(Summary!$L$6*(G130+Summary!$L$13)-E130,0))</f>
        <v>49</v>
      </c>
      <c r="T130" s="39" t="n">
        <f aca="false">MAX(0,ROUNDUP(Summary!$L$7*(G130+Summary!$L$13)-E130,0))</f>
        <v>0</v>
      </c>
      <c r="U130" s="39" t="n">
        <f aca="false">MAX(0,ROUNDUP(Summary!$L$8*(G130+Summary!$L$13)-E130,0))</f>
        <v>0</v>
      </c>
    </row>
    <row r="131" customFormat="false" ht="15" hidden="false" customHeight="false" outlineLevel="0" collapsed="false">
      <c r="A131" s="40" t="n">
        <v>126</v>
      </c>
      <c r="B131" s="40" t="s">
        <v>27</v>
      </c>
      <c r="C131" s="40" t="s">
        <v>355</v>
      </c>
      <c r="D131" s="41" t="s">
        <v>356</v>
      </c>
      <c r="E131" s="40" t="n">
        <v>236</v>
      </c>
      <c r="F131" s="40" t="n">
        <v>125</v>
      </c>
      <c r="G131" s="40" t="n">
        <v>361</v>
      </c>
      <c r="H131" s="36" t="n">
        <f aca="false">ROUND(E131/G131*100,0)/100</f>
        <v>0.65</v>
      </c>
      <c r="I131" s="12" t="str">
        <f aca="false">IF(H131&gt;=Summary!$L$6,"Eligible","Shortage")</f>
        <v>Shortage</v>
      </c>
      <c r="J131" s="12" t="str">
        <f aca="false">IF(H131&lt;Summary!$L$8,"YES","No")</f>
        <v>No</v>
      </c>
      <c r="K131" s="12" t="str">
        <f aca="false">IF(H131&gt;=Summary!$L$7,"Counted","Not Counted")</f>
        <v>Counted</v>
      </c>
      <c r="L131" s="17" t="n">
        <f aca="false">IF(H131&gt;=Summary!$L$6,20,ROUND(H131/Summary!$L$6*10,1)*2)</f>
        <v>17.4</v>
      </c>
      <c r="M131" s="37" t="n">
        <f aca="false">20-L131</f>
        <v>2.6</v>
      </c>
      <c r="N131" s="12" t="str">
        <f aca="false">IF(H131&gt;=Summary!$L$6,"75%+ (all benefits)",IF(H131&gt;=Summary!$L$7,"55-74%",IF(H131&gt;=Summary!$L$8,"30-54%","Below 30%")))</f>
        <v>55-74%</v>
      </c>
      <c r="O131" s="13" t="n">
        <f aca="false">(E131+Summary!$L$13)/(G131+Summary!$L$13)</f>
        <v>0.736286919831224</v>
      </c>
      <c r="P131" s="17" t="n">
        <f aca="false">IF(O131&gt;=Summary!$L$6,20,ROUND(O131/Summary!$L$6*10,1)*2)</f>
        <v>19.6</v>
      </c>
      <c r="Q131" s="38" t="n">
        <f aca="false">P131-L131</f>
        <v>2.2</v>
      </c>
      <c r="R131" s="12" t="str">
        <f aca="false">IF(O131&gt;=Summary!$L$6,"75%+ (all benefits)",IF(O131&gt;=Summary!$L$7,"55-74%",IF(O131&gt;=Summary!$L$8,"30-54%","Below 30%")))</f>
        <v>55-74%</v>
      </c>
      <c r="S131" s="39" t="n">
        <f aca="false">MAX(0,ROUNDUP(Summary!$L$6*(G131+Summary!$L$13)-E131,0))</f>
        <v>120</v>
      </c>
      <c r="T131" s="39" t="n">
        <f aca="false">MAX(0,ROUNDUP(Summary!$L$7*(G131+Summary!$L$13)-E131,0))</f>
        <v>25</v>
      </c>
      <c r="U131" s="39" t="n">
        <f aca="false">MAX(0,ROUNDUP(Summary!$L$8*(G131+Summary!$L$13)-E131,0))</f>
        <v>0</v>
      </c>
    </row>
    <row r="132" customFormat="false" ht="15" hidden="false" customHeight="false" outlineLevel="0" collapsed="false">
      <c r="A132" s="12" t="n">
        <v>127</v>
      </c>
      <c r="B132" s="12" t="s">
        <v>27</v>
      </c>
      <c r="C132" s="12" t="s">
        <v>357</v>
      </c>
      <c r="D132" s="32" t="s">
        <v>358</v>
      </c>
      <c r="E132" s="12" t="n">
        <v>238</v>
      </c>
      <c r="F132" s="12" t="n">
        <v>123</v>
      </c>
      <c r="G132" s="12" t="n">
        <v>361</v>
      </c>
      <c r="H132" s="36" t="n">
        <f aca="false">ROUND(E132/G132*100,0)/100</f>
        <v>0.66</v>
      </c>
      <c r="I132" s="12" t="str">
        <f aca="false">IF(H132&gt;=Summary!$L$6,"Eligible","Shortage")</f>
        <v>Shortage</v>
      </c>
      <c r="J132" s="12" t="str">
        <f aca="false">IF(H132&lt;Summary!$L$8,"YES","No")</f>
        <v>No</v>
      </c>
      <c r="K132" s="12" t="str">
        <f aca="false">IF(H132&gt;=Summary!$L$7,"Counted","Not Counted")</f>
        <v>Counted</v>
      </c>
      <c r="L132" s="17" t="n">
        <f aca="false">IF(H132&gt;=Summary!$L$6,20,ROUND(H132/Summary!$L$6*10,1)*2)</f>
        <v>17.6</v>
      </c>
      <c r="M132" s="37" t="n">
        <f aca="false">20-L132</f>
        <v>2.4</v>
      </c>
      <c r="N132" s="12" t="str">
        <f aca="false">IF(H132&gt;=Summary!$L$6,"75%+ (all benefits)",IF(H132&gt;=Summary!$L$7,"55-74%",IF(H132&gt;=Summary!$L$8,"30-54%","Below 30%")))</f>
        <v>55-74%</v>
      </c>
      <c r="O132" s="13" t="n">
        <f aca="false">(E132+Summary!$L$13)/(G132+Summary!$L$13)</f>
        <v>0.740506329113924</v>
      </c>
      <c r="P132" s="17" t="n">
        <f aca="false">IF(O132&gt;=Summary!$L$6,20,ROUND(O132/Summary!$L$6*10,1)*2)</f>
        <v>19.8</v>
      </c>
      <c r="Q132" s="38" t="n">
        <f aca="false">P132-L132</f>
        <v>2.2</v>
      </c>
      <c r="R132" s="12" t="str">
        <f aca="false">IF(O132&gt;=Summary!$L$6,"75%+ (all benefits)",IF(O132&gt;=Summary!$L$7,"55-74%",IF(O132&gt;=Summary!$L$8,"30-54%","Below 30%")))</f>
        <v>55-74%</v>
      </c>
      <c r="S132" s="39" t="n">
        <f aca="false">MAX(0,ROUNDUP(Summary!$L$6*(G132+Summary!$L$13)-E132,0))</f>
        <v>118</v>
      </c>
      <c r="T132" s="39" t="n">
        <f aca="false">MAX(0,ROUNDUP(Summary!$L$7*(G132+Summary!$L$13)-E132,0))</f>
        <v>23</v>
      </c>
      <c r="U132" s="39" t="n">
        <f aca="false">MAX(0,ROUNDUP(Summary!$L$8*(G132+Summary!$L$13)-E132,0))</f>
        <v>0</v>
      </c>
    </row>
    <row r="133" customFormat="false" ht="15" hidden="false" customHeight="false" outlineLevel="0" collapsed="false">
      <c r="A133" s="40" t="n">
        <v>128</v>
      </c>
      <c r="B133" s="40" t="s">
        <v>27</v>
      </c>
      <c r="C133" s="40" t="s">
        <v>359</v>
      </c>
      <c r="D133" s="41" t="s">
        <v>360</v>
      </c>
      <c r="E133" s="40" t="n">
        <v>295</v>
      </c>
      <c r="F133" s="40" t="n">
        <v>66</v>
      </c>
      <c r="G133" s="40" t="n">
        <v>361</v>
      </c>
      <c r="H133" s="36" t="n">
        <f aca="false">ROUND(E133/G133*100,0)/100</f>
        <v>0.82</v>
      </c>
      <c r="I133" s="12" t="str">
        <f aca="false">IF(H133&gt;=Summary!$L$6,"Eligible","Shortage")</f>
        <v>Eligible</v>
      </c>
      <c r="J133" s="12" t="str">
        <f aca="false">IF(H133&lt;Summary!$L$8,"YES","No")</f>
        <v>No</v>
      </c>
      <c r="K133" s="12" t="str">
        <f aca="false">IF(H133&gt;=Summary!$L$7,"Counted","Not Counted")</f>
        <v>Counted</v>
      </c>
      <c r="L133" s="17" t="n">
        <f aca="false">IF(H133&gt;=Summary!$L$6,20,ROUND(H133/Summary!$L$6*10,1)*2)</f>
        <v>20</v>
      </c>
      <c r="M133" s="37" t="n">
        <f aca="false">20-L133</f>
        <v>0</v>
      </c>
      <c r="N133" s="12" t="str">
        <f aca="false">IF(H133&gt;=Summary!$L$6,"75%+ (all benefits)",IF(H133&gt;=Summary!$L$7,"55-74%",IF(H133&gt;=Summary!$L$8,"30-54%","Below 30%")))</f>
        <v>75%+ (all benefits)</v>
      </c>
      <c r="O133" s="13" t="n">
        <f aca="false">(E133+Summary!$L$13)/(G133+Summary!$L$13)</f>
        <v>0.860759493670886</v>
      </c>
      <c r="P133" s="17" t="n">
        <f aca="false">IF(O133&gt;=Summary!$L$6,20,ROUND(O133/Summary!$L$6*10,1)*2)</f>
        <v>20</v>
      </c>
      <c r="Q133" s="38" t="n">
        <f aca="false">P133-L133</f>
        <v>0</v>
      </c>
      <c r="R133" s="12" t="str">
        <f aca="false">IF(O133&gt;=Summary!$L$6,"75%+ (all benefits)",IF(O133&gt;=Summary!$L$7,"55-74%",IF(O133&gt;=Summary!$L$8,"30-54%","Below 30%")))</f>
        <v>75%+ (all benefits)</v>
      </c>
      <c r="S133" s="39" t="n">
        <f aca="false">MAX(0,ROUNDUP(Summary!$L$6*(G133+Summary!$L$13)-E133,0))</f>
        <v>61</v>
      </c>
      <c r="T133" s="39" t="n">
        <f aca="false">MAX(0,ROUNDUP(Summary!$L$7*(G133+Summary!$L$13)-E133,0))</f>
        <v>0</v>
      </c>
      <c r="U133" s="39" t="n">
        <f aca="false">MAX(0,ROUNDUP(Summary!$L$8*(G133+Summary!$L$13)-E133,0))</f>
        <v>0</v>
      </c>
    </row>
    <row r="134" customFormat="false" ht="15" hidden="false" customHeight="false" outlineLevel="0" collapsed="false">
      <c r="A134" s="12" t="n">
        <v>129</v>
      </c>
      <c r="B134" s="12" t="s">
        <v>27</v>
      </c>
      <c r="C134" s="12" t="s">
        <v>361</v>
      </c>
      <c r="D134" s="32" t="s">
        <v>362</v>
      </c>
      <c r="E134" s="12" t="n">
        <v>289</v>
      </c>
      <c r="F134" s="12" t="n">
        <v>72</v>
      </c>
      <c r="G134" s="12" t="n">
        <v>361</v>
      </c>
      <c r="H134" s="36" t="n">
        <f aca="false">ROUND(E134/G134*100,0)/100</f>
        <v>0.8</v>
      </c>
      <c r="I134" s="12" t="str">
        <f aca="false">IF(H134&gt;=Summary!$L$6,"Eligible","Shortage")</f>
        <v>Eligible</v>
      </c>
      <c r="J134" s="12" t="str">
        <f aca="false">IF(H134&lt;Summary!$L$8,"YES","No")</f>
        <v>No</v>
      </c>
      <c r="K134" s="12" t="str">
        <f aca="false">IF(H134&gt;=Summary!$L$7,"Counted","Not Counted")</f>
        <v>Counted</v>
      </c>
      <c r="L134" s="17" t="n">
        <f aca="false">IF(H134&gt;=Summary!$L$6,20,ROUND(H134/Summary!$L$6*10,1)*2)</f>
        <v>20</v>
      </c>
      <c r="M134" s="37" t="n">
        <f aca="false">20-L134</f>
        <v>0</v>
      </c>
      <c r="N134" s="12" t="str">
        <f aca="false">IF(H134&gt;=Summary!$L$6,"75%+ (all benefits)",IF(H134&gt;=Summary!$L$7,"55-74%",IF(H134&gt;=Summary!$L$8,"30-54%","Below 30%")))</f>
        <v>75%+ (all benefits)</v>
      </c>
      <c r="O134" s="13" t="n">
        <f aca="false">(E134+Summary!$L$13)/(G134+Summary!$L$13)</f>
        <v>0.848101265822785</v>
      </c>
      <c r="P134" s="17" t="n">
        <f aca="false">IF(O134&gt;=Summary!$L$6,20,ROUND(O134/Summary!$L$6*10,1)*2)</f>
        <v>20</v>
      </c>
      <c r="Q134" s="38" t="n">
        <f aca="false">P134-L134</f>
        <v>0</v>
      </c>
      <c r="R134" s="12" t="str">
        <f aca="false">IF(O134&gt;=Summary!$L$6,"75%+ (all benefits)",IF(O134&gt;=Summary!$L$7,"55-74%",IF(O134&gt;=Summary!$L$8,"30-54%","Below 30%")))</f>
        <v>75%+ (all benefits)</v>
      </c>
      <c r="S134" s="39" t="n">
        <f aca="false">MAX(0,ROUNDUP(Summary!$L$6*(G134+Summary!$L$13)-E134,0))</f>
        <v>67</v>
      </c>
      <c r="T134" s="39" t="n">
        <f aca="false">MAX(0,ROUNDUP(Summary!$L$7*(G134+Summary!$L$13)-E134,0))</f>
        <v>0</v>
      </c>
      <c r="U134" s="39" t="n">
        <f aca="false">MAX(0,ROUNDUP(Summary!$L$8*(G134+Summary!$L$13)-E134,0))</f>
        <v>0</v>
      </c>
    </row>
    <row r="135" customFormat="false" ht="15" hidden="false" customHeight="false" outlineLevel="0" collapsed="false">
      <c r="A135" s="40" t="n">
        <v>130</v>
      </c>
      <c r="B135" s="40" t="s">
        <v>27</v>
      </c>
      <c r="C135" s="40" t="s">
        <v>363</v>
      </c>
      <c r="D135" s="41" t="s">
        <v>364</v>
      </c>
      <c r="E135" s="40" t="n">
        <v>220</v>
      </c>
      <c r="F135" s="40" t="n">
        <v>141</v>
      </c>
      <c r="G135" s="40" t="n">
        <v>361</v>
      </c>
      <c r="H135" s="36" t="n">
        <f aca="false">ROUND(E135/G135*100,0)/100</f>
        <v>0.61</v>
      </c>
      <c r="I135" s="12" t="str">
        <f aca="false">IF(H135&gt;=Summary!$L$6,"Eligible","Shortage")</f>
        <v>Shortage</v>
      </c>
      <c r="J135" s="12" t="str">
        <f aca="false">IF(H135&lt;Summary!$L$8,"YES","No")</f>
        <v>No</v>
      </c>
      <c r="K135" s="12" t="str">
        <f aca="false">IF(H135&gt;=Summary!$L$7,"Counted","Not Counted")</f>
        <v>Counted</v>
      </c>
      <c r="L135" s="17" t="n">
        <f aca="false">IF(H135&gt;=Summary!$L$6,20,ROUND(H135/Summary!$L$6*10,1)*2)</f>
        <v>16.2</v>
      </c>
      <c r="M135" s="37" t="n">
        <f aca="false">20-L135</f>
        <v>3.8</v>
      </c>
      <c r="N135" s="12" t="str">
        <f aca="false">IF(H135&gt;=Summary!$L$6,"75%+ (all benefits)",IF(H135&gt;=Summary!$L$7,"55-74%",IF(H135&gt;=Summary!$L$8,"30-54%","Below 30%")))</f>
        <v>55-74%</v>
      </c>
      <c r="O135" s="13" t="n">
        <f aca="false">(E135+Summary!$L$13)/(G135+Summary!$L$13)</f>
        <v>0.70253164556962</v>
      </c>
      <c r="P135" s="17" t="n">
        <f aca="false">IF(O135&gt;=Summary!$L$6,20,ROUND(O135/Summary!$L$6*10,1)*2)</f>
        <v>18.8</v>
      </c>
      <c r="Q135" s="38" t="n">
        <f aca="false">P135-L135</f>
        <v>2.6</v>
      </c>
      <c r="R135" s="12" t="str">
        <f aca="false">IF(O135&gt;=Summary!$L$6,"75%+ (all benefits)",IF(O135&gt;=Summary!$L$7,"55-74%",IF(O135&gt;=Summary!$L$8,"30-54%","Below 30%")))</f>
        <v>55-74%</v>
      </c>
      <c r="S135" s="39" t="n">
        <f aca="false">MAX(0,ROUNDUP(Summary!$L$6*(G135+Summary!$L$13)-E135,0))</f>
        <v>136</v>
      </c>
      <c r="T135" s="39" t="n">
        <f aca="false">MAX(0,ROUNDUP(Summary!$L$7*(G135+Summary!$L$13)-E135,0))</f>
        <v>41</v>
      </c>
      <c r="U135" s="39" t="n">
        <f aca="false">MAX(0,ROUNDUP(Summary!$L$8*(G135+Summary!$L$13)-E135,0))</f>
        <v>0</v>
      </c>
    </row>
    <row r="136" customFormat="false" ht="15" hidden="false" customHeight="false" outlineLevel="0" collapsed="false">
      <c r="A136" s="12" t="n">
        <v>131</v>
      </c>
      <c r="B136" s="12" t="s">
        <v>27</v>
      </c>
      <c r="C136" s="12" t="s">
        <v>365</v>
      </c>
      <c r="D136" s="32" t="s">
        <v>366</v>
      </c>
      <c r="E136" s="12" t="n">
        <v>271</v>
      </c>
      <c r="F136" s="12" t="n">
        <v>90</v>
      </c>
      <c r="G136" s="12" t="n">
        <v>361</v>
      </c>
      <c r="H136" s="36" t="n">
        <f aca="false">ROUND(E136/G136*100,0)/100</f>
        <v>0.75</v>
      </c>
      <c r="I136" s="12" t="str">
        <f aca="false">IF(H136&gt;=Summary!$L$6,"Eligible","Shortage")</f>
        <v>Eligible</v>
      </c>
      <c r="J136" s="12" t="str">
        <f aca="false">IF(H136&lt;Summary!$L$8,"YES","No")</f>
        <v>No</v>
      </c>
      <c r="K136" s="12" t="str">
        <f aca="false">IF(H136&gt;=Summary!$L$7,"Counted","Not Counted")</f>
        <v>Counted</v>
      </c>
      <c r="L136" s="17" t="n">
        <f aca="false">IF(H136&gt;=Summary!$L$6,20,ROUND(H136/Summary!$L$6*10,1)*2)</f>
        <v>20</v>
      </c>
      <c r="M136" s="37" t="n">
        <f aca="false">20-L136</f>
        <v>0</v>
      </c>
      <c r="N136" s="12" t="str">
        <f aca="false">IF(H136&gt;=Summary!$L$6,"75%+ (all benefits)",IF(H136&gt;=Summary!$L$7,"55-74%",IF(H136&gt;=Summary!$L$8,"30-54%","Below 30%")))</f>
        <v>75%+ (all benefits)</v>
      </c>
      <c r="O136" s="13" t="n">
        <f aca="false">(E136+Summary!$L$13)/(G136+Summary!$L$13)</f>
        <v>0.810126582278481</v>
      </c>
      <c r="P136" s="17" t="n">
        <f aca="false">IF(O136&gt;=Summary!$L$6,20,ROUND(O136/Summary!$L$6*10,1)*2)</f>
        <v>20</v>
      </c>
      <c r="Q136" s="38" t="n">
        <f aca="false">P136-L136</f>
        <v>0</v>
      </c>
      <c r="R136" s="12" t="str">
        <f aca="false">IF(O136&gt;=Summary!$L$6,"75%+ (all benefits)",IF(O136&gt;=Summary!$L$7,"55-74%",IF(O136&gt;=Summary!$L$8,"30-54%","Below 30%")))</f>
        <v>75%+ (all benefits)</v>
      </c>
      <c r="S136" s="39" t="n">
        <f aca="false">MAX(0,ROUNDUP(Summary!$L$6*(G136+Summary!$L$13)-E136,0))</f>
        <v>85</v>
      </c>
      <c r="T136" s="39" t="n">
        <f aca="false">MAX(0,ROUNDUP(Summary!$L$7*(G136+Summary!$L$13)-E136,0))</f>
        <v>0</v>
      </c>
      <c r="U136" s="39" t="n">
        <f aca="false">MAX(0,ROUNDUP(Summary!$L$8*(G136+Summary!$L$13)-E136,0))</f>
        <v>0</v>
      </c>
    </row>
    <row r="137" customFormat="false" ht="15" hidden="false" customHeight="false" outlineLevel="0" collapsed="false">
      <c r="A137" s="40" t="n">
        <v>132</v>
      </c>
      <c r="B137" s="40" t="s">
        <v>27</v>
      </c>
      <c r="C137" s="40" t="s">
        <v>367</v>
      </c>
      <c r="D137" s="41" t="s">
        <v>368</v>
      </c>
      <c r="E137" s="40" t="n">
        <v>190</v>
      </c>
      <c r="F137" s="40" t="n">
        <v>171</v>
      </c>
      <c r="G137" s="40" t="n">
        <v>361</v>
      </c>
      <c r="H137" s="36" t="n">
        <f aca="false">ROUND(E137/G137*100,0)/100</f>
        <v>0.53</v>
      </c>
      <c r="I137" s="12" t="str">
        <f aca="false">IF(H137&gt;=Summary!$L$6,"Eligible","Shortage")</f>
        <v>Shortage</v>
      </c>
      <c r="J137" s="12" t="str">
        <f aca="false">IF(H137&lt;Summary!$L$8,"YES","No")</f>
        <v>No</v>
      </c>
      <c r="K137" s="12" t="str">
        <f aca="false">IF(H137&gt;=Summary!$L$7,"Counted","Not Counted")</f>
        <v>Not Counted</v>
      </c>
      <c r="L137" s="17" t="n">
        <f aca="false">IF(H137&gt;=Summary!$L$6,20,ROUND(H137/Summary!$L$6*10,1)*2)</f>
        <v>14.2</v>
      </c>
      <c r="M137" s="37" t="n">
        <f aca="false">20-L137</f>
        <v>5.8</v>
      </c>
      <c r="N137" s="12" t="str">
        <f aca="false">IF(H137&gt;=Summary!$L$6,"75%+ (all benefits)",IF(H137&gt;=Summary!$L$7,"55-74%",IF(H137&gt;=Summary!$L$8,"30-54%","Below 30%")))</f>
        <v>30-54%</v>
      </c>
      <c r="O137" s="13" t="n">
        <f aca="false">(E137+Summary!$L$13)/(G137+Summary!$L$13)</f>
        <v>0.639240506329114</v>
      </c>
      <c r="P137" s="17" t="n">
        <f aca="false">IF(O137&gt;=Summary!$L$6,20,ROUND(O137/Summary!$L$6*10,1)*2)</f>
        <v>17</v>
      </c>
      <c r="Q137" s="38" t="n">
        <f aca="false">P137-L137</f>
        <v>2.8</v>
      </c>
      <c r="R137" s="12" t="str">
        <f aca="false">IF(O137&gt;=Summary!$L$6,"75%+ (all benefits)",IF(O137&gt;=Summary!$L$7,"55-74%",IF(O137&gt;=Summary!$L$8,"30-54%","Below 30%")))</f>
        <v>55-74%</v>
      </c>
      <c r="S137" s="39" t="n">
        <f aca="false">MAX(0,ROUNDUP(Summary!$L$6*(G137+Summary!$L$13)-E137,0))</f>
        <v>166</v>
      </c>
      <c r="T137" s="39" t="n">
        <f aca="false">MAX(0,ROUNDUP(Summary!$L$7*(G137+Summary!$L$13)-E137,0))</f>
        <v>71</v>
      </c>
      <c r="U137" s="39" t="n">
        <f aca="false">MAX(0,ROUNDUP(Summary!$L$8*(G137+Summary!$L$13)-E137,0))</f>
        <v>0</v>
      </c>
    </row>
    <row r="138" customFormat="false" ht="15" hidden="false" customHeight="false" outlineLevel="0" collapsed="false">
      <c r="A138" s="12" t="n">
        <v>133</v>
      </c>
      <c r="B138" s="12" t="s">
        <v>27</v>
      </c>
      <c r="C138" s="12" t="s">
        <v>369</v>
      </c>
      <c r="D138" s="32" t="s">
        <v>370</v>
      </c>
      <c r="E138" s="12" t="n">
        <v>310</v>
      </c>
      <c r="F138" s="12" t="n">
        <v>51</v>
      </c>
      <c r="G138" s="12" t="n">
        <v>361</v>
      </c>
      <c r="H138" s="36" t="n">
        <f aca="false">ROUND(E138/G138*100,0)/100</f>
        <v>0.86</v>
      </c>
      <c r="I138" s="12" t="str">
        <f aca="false">IF(H138&gt;=Summary!$L$6,"Eligible","Shortage")</f>
        <v>Eligible</v>
      </c>
      <c r="J138" s="12" t="str">
        <f aca="false">IF(H138&lt;Summary!$L$8,"YES","No")</f>
        <v>No</v>
      </c>
      <c r="K138" s="12" t="str">
        <f aca="false">IF(H138&gt;=Summary!$L$7,"Counted","Not Counted")</f>
        <v>Counted</v>
      </c>
      <c r="L138" s="17" t="n">
        <f aca="false">IF(H138&gt;=Summary!$L$6,20,ROUND(H138/Summary!$L$6*10,1)*2)</f>
        <v>20</v>
      </c>
      <c r="M138" s="37" t="n">
        <f aca="false">20-L138</f>
        <v>0</v>
      </c>
      <c r="N138" s="12" t="str">
        <f aca="false">IF(H138&gt;=Summary!$L$6,"75%+ (all benefits)",IF(H138&gt;=Summary!$L$7,"55-74%",IF(H138&gt;=Summary!$L$8,"30-54%","Below 30%")))</f>
        <v>75%+ (all benefits)</v>
      </c>
      <c r="O138" s="13" t="n">
        <f aca="false">(E138+Summary!$L$13)/(G138+Summary!$L$13)</f>
        <v>0.892405063291139</v>
      </c>
      <c r="P138" s="17" t="n">
        <f aca="false">IF(O138&gt;=Summary!$L$6,20,ROUND(O138/Summary!$L$6*10,1)*2)</f>
        <v>20</v>
      </c>
      <c r="Q138" s="38" t="n">
        <f aca="false">P138-L138</f>
        <v>0</v>
      </c>
      <c r="R138" s="12" t="str">
        <f aca="false">IF(O138&gt;=Summary!$L$6,"75%+ (all benefits)",IF(O138&gt;=Summary!$L$7,"55-74%",IF(O138&gt;=Summary!$L$8,"30-54%","Below 30%")))</f>
        <v>75%+ (all benefits)</v>
      </c>
      <c r="S138" s="39" t="n">
        <f aca="false">MAX(0,ROUNDUP(Summary!$L$6*(G138+Summary!$L$13)-E138,0))</f>
        <v>46</v>
      </c>
      <c r="T138" s="39" t="n">
        <f aca="false">MAX(0,ROUNDUP(Summary!$L$7*(G138+Summary!$L$13)-E138,0))</f>
        <v>0</v>
      </c>
      <c r="U138" s="39" t="n">
        <f aca="false">MAX(0,ROUNDUP(Summary!$L$8*(G138+Summary!$L$13)-E138,0))</f>
        <v>0</v>
      </c>
    </row>
    <row r="139" customFormat="false" ht="15" hidden="false" customHeight="false" outlineLevel="0" collapsed="false">
      <c r="A139" s="40" t="n">
        <v>134</v>
      </c>
      <c r="B139" s="40" t="s">
        <v>27</v>
      </c>
      <c r="C139" s="40" t="s">
        <v>371</v>
      </c>
      <c r="D139" s="41" t="s">
        <v>372</v>
      </c>
      <c r="E139" s="40" t="n">
        <v>184</v>
      </c>
      <c r="F139" s="40" t="n">
        <v>177</v>
      </c>
      <c r="G139" s="40" t="n">
        <v>361</v>
      </c>
      <c r="H139" s="36" t="n">
        <f aca="false">ROUND(E139/G139*100,0)/100</f>
        <v>0.51</v>
      </c>
      <c r="I139" s="12" t="str">
        <f aca="false">IF(H139&gt;=Summary!$L$6,"Eligible","Shortage")</f>
        <v>Shortage</v>
      </c>
      <c r="J139" s="12" t="str">
        <f aca="false">IF(H139&lt;Summary!$L$8,"YES","No")</f>
        <v>No</v>
      </c>
      <c r="K139" s="12" t="str">
        <f aca="false">IF(H139&gt;=Summary!$L$7,"Counted","Not Counted")</f>
        <v>Not Counted</v>
      </c>
      <c r="L139" s="17" t="n">
        <f aca="false">IF(H139&gt;=Summary!$L$6,20,ROUND(H139/Summary!$L$6*10,1)*2)</f>
        <v>13.6</v>
      </c>
      <c r="M139" s="37" t="n">
        <f aca="false">20-L139</f>
        <v>6.4</v>
      </c>
      <c r="N139" s="12" t="str">
        <f aca="false">IF(H139&gt;=Summary!$L$6,"75%+ (all benefits)",IF(H139&gt;=Summary!$L$7,"55-74%",IF(H139&gt;=Summary!$L$8,"30-54%","Below 30%")))</f>
        <v>30-54%</v>
      </c>
      <c r="O139" s="13" t="n">
        <f aca="false">(E139+Summary!$L$13)/(G139+Summary!$L$13)</f>
        <v>0.626582278481013</v>
      </c>
      <c r="P139" s="17" t="n">
        <f aca="false">IF(O139&gt;=Summary!$L$6,20,ROUND(O139/Summary!$L$6*10,1)*2)</f>
        <v>16.8</v>
      </c>
      <c r="Q139" s="38" t="n">
        <f aca="false">P139-L139</f>
        <v>3.2</v>
      </c>
      <c r="R139" s="12" t="str">
        <f aca="false">IF(O139&gt;=Summary!$L$6,"75%+ (all benefits)",IF(O139&gt;=Summary!$L$7,"55-74%",IF(O139&gt;=Summary!$L$8,"30-54%","Below 30%")))</f>
        <v>55-74%</v>
      </c>
      <c r="S139" s="39" t="n">
        <f aca="false">MAX(0,ROUNDUP(Summary!$L$6*(G139+Summary!$L$13)-E139,0))</f>
        <v>172</v>
      </c>
      <c r="T139" s="39" t="n">
        <f aca="false">MAX(0,ROUNDUP(Summary!$L$7*(G139+Summary!$L$13)-E139,0))</f>
        <v>77</v>
      </c>
      <c r="U139" s="39" t="n">
        <f aca="false">MAX(0,ROUNDUP(Summary!$L$8*(G139+Summary!$L$13)-E139,0))</f>
        <v>0</v>
      </c>
    </row>
    <row r="140" customFormat="false" ht="15" hidden="false" customHeight="false" outlineLevel="0" collapsed="false">
      <c r="A140" s="12" t="n">
        <v>135</v>
      </c>
      <c r="B140" s="12" t="s">
        <v>27</v>
      </c>
      <c r="C140" s="12" t="s">
        <v>88</v>
      </c>
      <c r="D140" s="32" t="s">
        <v>89</v>
      </c>
      <c r="E140" s="12" t="n">
        <v>42</v>
      </c>
      <c r="F140" s="12" t="n">
        <v>319</v>
      </c>
      <c r="G140" s="12" t="n">
        <v>361</v>
      </c>
      <c r="H140" s="36" t="n">
        <f aca="false">ROUND(E140/G140*100,0)/100</f>
        <v>0.12</v>
      </c>
      <c r="I140" s="12" t="str">
        <f aca="false">IF(H140&gt;=Summary!$L$6,"Eligible","Shortage")</f>
        <v>Shortage</v>
      </c>
      <c r="J140" s="12" t="str">
        <f aca="false">IF(H140&lt;Summary!$L$8,"YES","No")</f>
        <v>YES</v>
      </c>
      <c r="K140" s="12" t="str">
        <f aca="false">IF(H140&gt;=Summary!$L$7,"Counted","Not Counted")</f>
        <v>Not Counted</v>
      </c>
      <c r="L140" s="17" t="n">
        <f aca="false">IF(H140&gt;=Summary!$L$6,20,ROUND(H140/Summary!$L$6*10,1)*2)</f>
        <v>3.2</v>
      </c>
      <c r="M140" s="37" t="n">
        <f aca="false">20-L140</f>
        <v>16.8</v>
      </c>
      <c r="N140" s="12" t="str">
        <f aca="false">IF(H140&gt;=Summary!$L$6,"75%+ (all benefits)",IF(H140&gt;=Summary!$L$7,"55-74%",IF(H140&gt;=Summary!$L$8,"30-54%","Below 30%")))</f>
        <v>Below 30%</v>
      </c>
      <c r="O140" s="13" t="n">
        <f aca="false">(E140+Summary!$L$13)/(G140+Summary!$L$13)</f>
        <v>0.327004219409283</v>
      </c>
      <c r="P140" s="17" t="n">
        <f aca="false">IF(O140&gt;=Summary!$L$6,20,ROUND(O140/Summary!$L$6*10,1)*2)</f>
        <v>8.8</v>
      </c>
      <c r="Q140" s="38" t="n">
        <f aca="false">P140-L140</f>
        <v>5.6</v>
      </c>
      <c r="R140" s="12" t="str">
        <f aca="false">IF(O140&gt;=Summary!$L$6,"75%+ (all benefits)",IF(O140&gt;=Summary!$L$7,"55-74%",IF(O140&gt;=Summary!$L$8,"30-54%","Below 30%")))</f>
        <v>30-54%</v>
      </c>
      <c r="S140" s="39" t="n">
        <f aca="false">MAX(0,ROUNDUP(Summary!$L$6*(G140+Summary!$L$13)-E140,0))</f>
        <v>314</v>
      </c>
      <c r="T140" s="39" t="n">
        <f aca="false">MAX(0,ROUNDUP(Summary!$L$7*(G140+Summary!$L$13)-E140,0))</f>
        <v>219</v>
      </c>
      <c r="U140" s="39" t="n">
        <f aca="false">MAX(0,ROUNDUP(Summary!$L$8*(G140+Summary!$L$13)-E140,0))</f>
        <v>101</v>
      </c>
    </row>
    <row r="141" customFormat="false" ht="15" hidden="false" customHeight="false" outlineLevel="0" collapsed="false">
      <c r="A141" s="40" t="n">
        <v>136</v>
      </c>
      <c r="B141" s="40" t="s">
        <v>27</v>
      </c>
      <c r="C141" s="40" t="s">
        <v>373</v>
      </c>
      <c r="D141" s="41" t="s">
        <v>374</v>
      </c>
      <c r="E141" s="40" t="n">
        <v>270</v>
      </c>
      <c r="F141" s="40" t="n">
        <v>91</v>
      </c>
      <c r="G141" s="40" t="n">
        <v>361</v>
      </c>
      <c r="H141" s="36" t="n">
        <f aca="false">ROUND(E141/G141*100,0)/100</f>
        <v>0.75</v>
      </c>
      <c r="I141" s="12" t="str">
        <f aca="false">IF(H141&gt;=Summary!$L$6,"Eligible","Shortage")</f>
        <v>Eligible</v>
      </c>
      <c r="J141" s="12" t="str">
        <f aca="false">IF(H141&lt;Summary!$L$8,"YES","No")</f>
        <v>No</v>
      </c>
      <c r="K141" s="12" t="str">
        <f aca="false">IF(H141&gt;=Summary!$L$7,"Counted","Not Counted")</f>
        <v>Counted</v>
      </c>
      <c r="L141" s="17" t="n">
        <f aca="false">IF(H141&gt;=Summary!$L$6,20,ROUND(H141/Summary!$L$6*10,1)*2)</f>
        <v>20</v>
      </c>
      <c r="M141" s="37" t="n">
        <f aca="false">20-L141</f>
        <v>0</v>
      </c>
      <c r="N141" s="12" t="str">
        <f aca="false">IF(H141&gt;=Summary!$L$6,"75%+ (all benefits)",IF(H141&gt;=Summary!$L$7,"55-74%",IF(H141&gt;=Summary!$L$8,"30-54%","Below 30%")))</f>
        <v>75%+ (all benefits)</v>
      </c>
      <c r="O141" s="13" t="n">
        <f aca="false">(E141+Summary!$L$13)/(G141+Summary!$L$13)</f>
        <v>0.808016877637131</v>
      </c>
      <c r="P141" s="17" t="n">
        <f aca="false">IF(O141&gt;=Summary!$L$6,20,ROUND(O141/Summary!$L$6*10,1)*2)</f>
        <v>20</v>
      </c>
      <c r="Q141" s="38" t="n">
        <f aca="false">P141-L141</f>
        <v>0</v>
      </c>
      <c r="R141" s="12" t="str">
        <f aca="false">IF(O141&gt;=Summary!$L$6,"75%+ (all benefits)",IF(O141&gt;=Summary!$L$7,"55-74%",IF(O141&gt;=Summary!$L$8,"30-54%","Below 30%")))</f>
        <v>75%+ (all benefits)</v>
      </c>
      <c r="S141" s="39" t="n">
        <f aca="false">MAX(0,ROUNDUP(Summary!$L$6*(G141+Summary!$L$13)-E141,0))</f>
        <v>86</v>
      </c>
      <c r="T141" s="39" t="n">
        <f aca="false">MAX(0,ROUNDUP(Summary!$L$7*(G141+Summary!$L$13)-E141,0))</f>
        <v>0</v>
      </c>
      <c r="U141" s="39" t="n">
        <f aca="false">MAX(0,ROUNDUP(Summary!$L$8*(G141+Summary!$L$13)-E141,0))</f>
        <v>0</v>
      </c>
    </row>
    <row r="142" customFormat="false" ht="15" hidden="false" customHeight="false" outlineLevel="0" collapsed="false">
      <c r="A142" s="12" t="n">
        <v>137</v>
      </c>
      <c r="B142" s="12" t="s">
        <v>27</v>
      </c>
      <c r="C142" s="12" t="s">
        <v>375</v>
      </c>
      <c r="D142" s="32" t="s">
        <v>376</v>
      </c>
      <c r="E142" s="12" t="n">
        <v>274</v>
      </c>
      <c r="F142" s="12" t="n">
        <v>87</v>
      </c>
      <c r="G142" s="12" t="n">
        <v>361</v>
      </c>
      <c r="H142" s="36" t="n">
        <f aca="false">ROUND(E142/G142*100,0)/100</f>
        <v>0.76</v>
      </c>
      <c r="I142" s="12" t="str">
        <f aca="false">IF(H142&gt;=Summary!$L$6,"Eligible","Shortage")</f>
        <v>Eligible</v>
      </c>
      <c r="J142" s="12" t="str">
        <f aca="false">IF(H142&lt;Summary!$L$8,"YES","No")</f>
        <v>No</v>
      </c>
      <c r="K142" s="12" t="str">
        <f aca="false">IF(H142&gt;=Summary!$L$7,"Counted","Not Counted")</f>
        <v>Counted</v>
      </c>
      <c r="L142" s="17" t="n">
        <f aca="false">IF(H142&gt;=Summary!$L$6,20,ROUND(H142/Summary!$L$6*10,1)*2)</f>
        <v>20</v>
      </c>
      <c r="M142" s="37" t="n">
        <f aca="false">20-L142</f>
        <v>0</v>
      </c>
      <c r="N142" s="12" t="str">
        <f aca="false">IF(H142&gt;=Summary!$L$6,"75%+ (all benefits)",IF(H142&gt;=Summary!$L$7,"55-74%",IF(H142&gt;=Summary!$L$8,"30-54%","Below 30%")))</f>
        <v>75%+ (all benefits)</v>
      </c>
      <c r="O142" s="13" t="n">
        <f aca="false">(E142+Summary!$L$13)/(G142+Summary!$L$13)</f>
        <v>0.816455696202532</v>
      </c>
      <c r="P142" s="17" t="n">
        <f aca="false">IF(O142&gt;=Summary!$L$6,20,ROUND(O142/Summary!$L$6*10,1)*2)</f>
        <v>20</v>
      </c>
      <c r="Q142" s="38" t="n">
        <f aca="false">P142-L142</f>
        <v>0</v>
      </c>
      <c r="R142" s="12" t="str">
        <f aca="false">IF(O142&gt;=Summary!$L$6,"75%+ (all benefits)",IF(O142&gt;=Summary!$L$7,"55-74%",IF(O142&gt;=Summary!$L$8,"30-54%","Below 30%")))</f>
        <v>75%+ (all benefits)</v>
      </c>
      <c r="S142" s="39" t="n">
        <f aca="false">MAX(0,ROUNDUP(Summary!$L$6*(G142+Summary!$L$13)-E142,0))</f>
        <v>82</v>
      </c>
      <c r="T142" s="39" t="n">
        <f aca="false">MAX(0,ROUNDUP(Summary!$L$7*(G142+Summary!$L$13)-E142,0))</f>
        <v>0</v>
      </c>
      <c r="U142" s="39" t="n">
        <f aca="false">MAX(0,ROUNDUP(Summary!$L$8*(G142+Summary!$L$13)-E142,0))</f>
        <v>0</v>
      </c>
    </row>
    <row r="143" customFormat="false" ht="15" hidden="false" customHeight="false" outlineLevel="0" collapsed="false">
      <c r="A143" s="40" t="n">
        <v>138</v>
      </c>
      <c r="B143" s="40" t="s">
        <v>27</v>
      </c>
      <c r="C143" s="40" t="s">
        <v>377</v>
      </c>
      <c r="D143" s="41" t="s">
        <v>378</v>
      </c>
      <c r="E143" s="40" t="n">
        <v>175</v>
      </c>
      <c r="F143" s="40" t="n">
        <v>186</v>
      </c>
      <c r="G143" s="40" t="n">
        <v>361</v>
      </c>
      <c r="H143" s="36" t="n">
        <f aca="false">ROUND(E143/G143*100,0)/100</f>
        <v>0.48</v>
      </c>
      <c r="I143" s="12" t="str">
        <f aca="false">IF(H143&gt;=Summary!$L$6,"Eligible","Shortage")</f>
        <v>Shortage</v>
      </c>
      <c r="J143" s="12" t="str">
        <f aca="false">IF(H143&lt;Summary!$L$8,"YES","No")</f>
        <v>No</v>
      </c>
      <c r="K143" s="12" t="str">
        <f aca="false">IF(H143&gt;=Summary!$L$7,"Counted","Not Counted")</f>
        <v>Not Counted</v>
      </c>
      <c r="L143" s="17" t="n">
        <f aca="false">IF(H143&gt;=Summary!$L$6,20,ROUND(H143/Summary!$L$6*10,1)*2)</f>
        <v>12.8</v>
      </c>
      <c r="M143" s="37" t="n">
        <f aca="false">20-L143</f>
        <v>7.2</v>
      </c>
      <c r="N143" s="12" t="str">
        <f aca="false">IF(H143&gt;=Summary!$L$6,"75%+ (all benefits)",IF(H143&gt;=Summary!$L$7,"55-74%",IF(H143&gt;=Summary!$L$8,"30-54%","Below 30%")))</f>
        <v>30-54%</v>
      </c>
      <c r="O143" s="13" t="n">
        <f aca="false">(E143+Summary!$L$13)/(G143+Summary!$L$13)</f>
        <v>0.607594936708861</v>
      </c>
      <c r="P143" s="17" t="n">
        <f aca="false">IF(O143&gt;=Summary!$L$6,20,ROUND(O143/Summary!$L$6*10,1)*2)</f>
        <v>16.2</v>
      </c>
      <c r="Q143" s="38" t="n">
        <f aca="false">P143-L143</f>
        <v>3.4</v>
      </c>
      <c r="R143" s="12" t="str">
        <f aca="false">IF(O143&gt;=Summary!$L$6,"75%+ (all benefits)",IF(O143&gt;=Summary!$L$7,"55-74%",IF(O143&gt;=Summary!$L$8,"30-54%","Below 30%")))</f>
        <v>55-74%</v>
      </c>
      <c r="S143" s="39" t="n">
        <f aca="false">MAX(0,ROUNDUP(Summary!$L$6*(G143+Summary!$L$13)-E143,0))</f>
        <v>181</v>
      </c>
      <c r="T143" s="39" t="n">
        <f aca="false">MAX(0,ROUNDUP(Summary!$L$7*(G143+Summary!$L$13)-E143,0))</f>
        <v>86</v>
      </c>
      <c r="U143" s="39" t="n">
        <f aca="false">MAX(0,ROUNDUP(Summary!$L$8*(G143+Summary!$L$13)-E143,0))</f>
        <v>0</v>
      </c>
    </row>
    <row r="144" customFormat="false" ht="15" hidden="false" customHeight="false" outlineLevel="0" collapsed="false">
      <c r="A144" s="12" t="n">
        <v>139</v>
      </c>
      <c r="B144" s="12" t="s">
        <v>27</v>
      </c>
      <c r="C144" s="12" t="s">
        <v>86</v>
      </c>
      <c r="D144" s="32" t="s">
        <v>87</v>
      </c>
      <c r="E144" s="12" t="n">
        <v>34</v>
      </c>
      <c r="F144" s="12" t="n">
        <v>327</v>
      </c>
      <c r="G144" s="12" t="n">
        <v>361</v>
      </c>
      <c r="H144" s="36" t="n">
        <f aca="false">ROUND(E144/G144*100,0)/100</f>
        <v>0.09</v>
      </c>
      <c r="I144" s="12" t="str">
        <f aca="false">IF(H144&gt;=Summary!$L$6,"Eligible","Shortage")</f>
        <v>Shortage</v>
      </c>
      <c r="J144" s="12" t="str">
        <f aca="false">IF(H144&lt;Summary!$L$8,"YES","No")</f>
        <v>YES</v>
      </c>
      <c r="K144" s="12" t="str">
        <f aca="false">IF(H144&gt;=Summary!$L$7,"Counted","Not Counted")</f>
        <v>Not Counted</v>
      </c>
      <c r="L144" s="17" t="n">
        <f aca="false">IF(H144&gt;=Summary!$L$6,20,ROUND(H144/Summary!$L$6*10,1)*2)</f>
        <v>2.4</v>
      </c>
      <c r="M144" s="37" t="n">
        <f aca="false">20-L144</f>
        <v>17.6</v>
      </c>
      <c r="N144" s="12" t="str">
        <f aca="false">IF(H144&gt;=Summary!$L$6,"75%+ (all benefits)",IF(H144&gt;=Summary!$L$7,"55-74%",IF(H144&gt;=Summary!$L$8,"30-54%","Below 30%")))</f>
        <v>Below 30%</v>
      </c>
      <c r="O144" s="13" t="n">
        <f aca="false">(E144+Summary!$L$13)/(G144+Summary!$L$13)</f>
        <v>0.310126582278481</v>
      </c>
      <c r="P144" s="17" t="n">
        <f aca="false">IF(O144&gt;=Summary!$L$6,20,ROUND(O144/Summary!$L$6*10,1)*2)</f>
        <v>8.2</v>
      </c>
      <c r="Q144" s="38" t="n">
        <f aca="false">P144-L144</f>
        <v>5.8</v>
      </c>
      <c r="R144" s="12" t="str">
        <f aca="false">IF(O144&gt;=Summary!$L$6,"75%+ (all benefits)",IF(O144&gt;=Summary!$L$7,"55-74%",IF(O144&gt;=Summary!$L$8,"30-54%","Below 30%")))</f>
        <v>30-54%</v>
      </c>
      <c r="S144" s="39" t="n">
        <f aca="false">MAX(0,ROUNDUP(Summary!$L$6*(G144+Summary!$L$13)-E144,0))</f>
        <v>322</v>
      </c>
      <c r="T144" s="39" t="n">
        <f aca="false">MAX(0,ROUNDUP(Summary!$L$7*(G144+Summary!$L$13)-E144,0))</f>
        <v>227</v>
      </c>
      <c r="U144" s="39" t="n">
        <f aca="false">MAX(0,ROUNDUP(Summary!$L$8*(G144+Summary!$L$13)-E144,0))</f>
        <v>109</v>
      </c>
    </row>
    <row r="145" customFormat="false" ht="15" hidden="false" customHeight="false" outlineLevel="0" collapsed="false">
      <c r="A145" s="40" t="n">
        <v>140</v>
      </c>
      <c r="B145" s="40" t="s">
        <v>27</v>
      </c>
      <c r="C145" s="40" t="s">
        <v>71</v>
      </c>
      <c r="D145" s="41" t="s">
        <v>72</v>
      </c>
      <c r="E145" s="40" t="n">
        <v>2</v>
      </c>
      <c r="F145" s="40" t="n">
        <v>359</v>
      </c>
      <c r="G145" s="40" t="n">
        <v>361</v>
      </c>
      <c r="H145" s="36" t="n">
        <f aca="false">ROUND(E145/G145*100,0)/100</f>
        <v>0.01</v>
      </c>
      <c r="I145" s="12" t="str">
        <f aca="false">IF(H145&gt;=Summary!$L$6,"Eligible","Shortage")</f>
        <v>Shortage</v>
      </c>
      <c r="J145" s="12" t="str">
        <f aca="false">IF(H145&lt;Summary!$L$8,"YES","No")</f>
        <v>YES</v>
      </c>
      <c r="K145" s="12" t="str">
        <f aca="false">IF(H145&gt;=Summary!$L$7,"Counted","Not Counted")</f>
        <v>Not Counted</v>
      </c>
      <c r="L145" s="17" t="n">
        <f aca="false">IF(H145&gt;=Summary!$L$6,20,ROUND(H145/Summary!$L$6*10,1)*2)</f>
        <v>0.2</v>
      </c>
      <c r="M145" s="37" t="n">
        <f aca="false">20-L145</f>
        <v>19.8</v>
      </c>
      <c r="N145" s="12" t="str">
        <f aca="false">IF(H145&gt;=Summary!$L$6,"75%+ (all benefits)",IF(H145&gt;=Summary!$L$7,"55-74%",IF(H145&gt;=Summary!$L$8,"30-54%","Below 30%")))</f>
        <v>Below 30%</v>
      </c>
      <c r="O145" s="13" t="n">
        <f aca="false">(E145+Summary!$L$13)/(G145+Summary!$L$13)</f>
        <v>0.242616033755274</v>
      </c>
      <c r="P145" s="17" t="n">
        <f aca="false">IF(O145&gt;=Summary!$L$6,20,ROUND(O145/Summary!$L$6*10,1)*2)</f>
        <v>6.4</v>
      </c>
      <c r="Q145" s="38" t="n">
        <f aca="false">P145-L145</f>
        <v>6.2</v>
      </c>
      <c r="R145" s="12" t="str">
        <f aca="false">IF(O145&gt;=Summary!$L$6,"75%+ (all benefits)",IF(O145&gt;=Summary!$L$7,"55-74%",IF(O145&gt;=Summary!$L$8,"30-54%","Below 30%")))</f>
        <v>Below 30%</v>
      </c>
      <c r="S145" s="39" t="n">
        <f aca="false">MAX(0,ROUNDUP(Summary!$L$6*(G145+Summary!$L$13)-E145,0))</f>
        <v>354</v>
      </c>
      <c r="T145" s="39" t="n">
        <f aca="false">MAX(0,ROUNDUP(Summary!$L$7*(G145+Summary!$L$13)-E145,0))</f>
        <v>259</v>
      </c>
      <c r="U145" s="39" t="n">
        <f aca="false">MAX(0,ROUNDUP(Summary!$L$8*(G145+Summary!$L$13)-E145,0))</f>
        <v>141</v>
      </c>
    </row>
    <row r="146" customFormat="false" ht="15" hidden="false" customHeight="false" outlineLevel="0" collapsed="false">
      <c r="A146" s="12" t="n">
        <v>141</v>
      </c>
      <c r="B146" s="12" t="s">
        <v>27</v>
      </c>
      <c r="C146" s="12" t="s">
        <v>80</v>
      </c>
      <c r="D146" s="32" t="s">
        <v>81</v>
      </c>
      <c r="E146" s="12" t="n">
        <v>19</v>
      </c>
      <c r="F146" s="12" t="n">
        <v>342</v>
      </c>
      <c r="G146" s="12" t="n">
        <v>361</v>
      </c>
      <c r="H146" s="36" t="n">
        <f aca="false">ROUND(E146/G146*100,0)/100</f>
        <v>0.05</v>
      </c>
      <c r="I146" s="12" t="str">
        <f aca="false">IF(H146&gt;=Summary!$L$6,"Eligible","Shortage")</f>
        <v>Shortage</v>
      </c>
      <c r="J146" s="12" t="str">
        <f aca="false">IF(H146&lt;Summary!$L$8,"YES","No")</f>
        <v>YES</v>
      </c>
      <c r="K146" s="12" t="str">
        <f aca="false">IF(H146&gt;=Summary!$L$7,"Counted","Not Counted")</f>
        <v>Not Counted</v>
      </c>
      <c r="L146" s="17" t="n">
        <f aca="false">IF(H146&gt;=Summary!$L$6,20,ROUND(H146/Summary!$L$6*10,1)*2)</f>
        <v>1.4</v>
      </c>
      <c r="M146" s="37" t="n">
        <f aca="false">20-L146</f>
        <v>18.6</v>
      </c>
      <c r="N146" s="12" t="str">
        <f aca="false">IF(H146&gt;=Summary!$L$6,"75%+ (all benefits)",IF(H146&gt;=Summary!$L$7,"55-74%",IF(H146&gt;=Summary!$L$8,"30-54%","Below 30%")))</f>
        <v>Below 30%</v>
      </c>
      <c r="O146" s="13" t="n">
        <f aca="false">(E146+Summary!$L$13)/(G146+Summary!$L$13)</f>
        <v>0.278481012658228</v>
      </c>
      <c r="P146" s="17" t="n">
        <f aca="false">IF(O146&gt;=Summary!$L$6,20,ROUND(O146/Summary!$L$6*10,1)*2)</f>
        <v>7.4</v>
      </c>
      <c r="Q146" s="38" t="n">
        <f aca="false">P146-L146</f>
        <v>6</v>
      </c>
      <c r="R146" s="12" t="str">
        <f aca="false">IF(O146&gt;=Summary!$L$6,"75%+ (all benefits)",IF(O146&gt;=Summary!$L$7,"55-74%",IF(O146&gt;=Summary!$L$8,"30-54%","Below 30%")))</f>
        <v>Below 30%</v>
      </c>
      <c r="S146" s="39" t="n">
        <f aca="false">MAX(0,ROUNDUP(Summary!$L$6*(G146+Summary!$L$13)-E146,0))</f>
        <v>337</v>
      </c>
      <c r="T146" s="39" t="n">
        <f aca="false">MAX(0,ROUNDUP(Summary!$L$7*(G146+Summary!$L$13)-E146,0))</f>
        <v>242</v>
      </c>
      <c r="U146" s="39" t="n">
        <f aca="false">MAX(0,ROUNDUP(Summary!$L$8*(G146+Summary!$L$13)-E146,0))</f>
        <v>124</v>
      </c>
    </row>
    <row r="147" customFormat="false" ht="15" hidden="false" customHeight="false" outlineLevel="0" collapsed="false">
      <c r="A147" s="40" t="n">
        <v>142</v>
      </c>
      <c r="B147" s="40" t="s">
        <v>27</v>
      </c>
      <c r="C147" s="40" t="s">
        <v>379</v>
      </c>
      <c r="D147" s="41" t="s">
        <v>380</v>
      </c>
      <c r="E147" s="40" t="n">
        <v>285</v>
      </c>
      <c r="F147" s="40" t="n">
        <v>76</v>
      </c>
      <c r="G147" s="40" t="n">
        <v>361</v>
      </c>
      <c r="H147" s="36" t="n">
        <f aca="false">ROUND(E147/G147*100,0)/100</f>
        <v>0.79</v>
      </c>
      <c r="I147" s="12" t="str">
        <f aca="false">IF(H147&gt;=Summary!$L$6,"Eligible","Shortage")</f>
        <v>Eligible</v>
      </c>
      <c r="J147" s="12" t="str">
        <f aca="false">IF(H147&lt;Summary!$L$8,"YES","No")</f>
        <v>No</v>
      </c>
      <c r="K147" s="12" t="str">
        <f aca="false">IF(H147&gt;=Summary!$L$7,"Counted","Not Counted")</f>
        <v>Counted</v>
      </c>
      <c r="L147" s="17" t="n">
        <f aca="false">IF(H147&gt;=Summary!$L$6,20,ROUND(H147/Summary!$L$6*10,1)*2)</f>
        <v>20</v>
      </c>
      <c r="M147" s="37" t="n">
        <f aca="false">20-L147</f>
        <v>0</v>
      </c>
      <c r="N147" s="12" t="str">
        <f aca="false">IF(H147&gt;=Summary!$L$6,"75%+ (all benefits)",IF(H147&gt;=Summary!$L$7,"55-74%",IF(H147&gt;=Summary!$L$8,"30-54%","Below 30%")))</f>
        <v>75%+ (all benefits)</v>
      </c>
      <c r="O147" s="13" t="n">
        <f aca="false">(E147+Summary!$L$13)/(G147+Summary!$L$13)</f>
        <v>0.839662447257384</v>
      </c>
      <c r="P147" s="17" t="n">
        <f aca="false">IF(O147&gt;=Summary!$L$6,20,ROUND(O147/Summary!$L$6*10,1)*2)</f>
        <v>20</v>
      </c>
      <c r="Q147" s="38" t="n">
        <f aca="false">P147-L147</f>
        <v>0</v>
      </c>
      <c r="R147" s="12" t="str">
        <f aca="false">IF(O147&gt;=Summary!$L$6,"75%+ (all benefits)",IF(O147&gt;=Summary!$L$7,"55-74%",IF(O147&gt;=Summary!$L$8,"30-54%","Below 30%")))</f>
        <v>75%+ (all benefits)</v>
      </c>
      <c r="S147" s="39" t="n">
        <f aca="false">MAX(0,ROUNDUP(Summary!$L$6*(G147+Summary!$L$13)-E147,0))</f>
        <v>71</v>
      </c>
      <c r="T147" s="39" t="n">
        <f aca="false">MAX(0,ROUNDUP(Summary!$L$7*(G147+Summary!$L$13)-E147,0))</f>
        <v>0</v>
      </c>
      <c r="U147" s="39" t="n">
        <f aca="false">MAX(0,ROUNDUP(Summary!$L$8*(G147+Summary!$L$13)-E147,0))</f>
        <v>0</v>
      </c>
    </row>
    <row r="148" customFormat="false" ht="15" hidden="false" customHeight="false" outlineLevel="0" collapsed="false">
      <c r="A148" s="12" t="n">
        <v>143</v>
      </c>
      <c r="B148" s="12" t="s">
        <v>27</v>
      </c>
      <c r="C148" s="12" t="s">
        <v>381</v>
      </c>
      <c r="D148" s="32" t="s">
        <v>382</v>
      </c>
      <c r="E148" s="12" t="n">
        <v>293</v>
      </c>
      <c r="F148" s="12" t="n">
        <v>68</v>
      </c>
      <c r="G148" s="12" t="n">
        <v>361</v>
      </c>
      <c r="H148" s="36" t="n">
        <f aca="false">ROUND(E148/G148*100,0)/100</f>
        <v>0.81</v>
      </c>
      <c r="I148" s="12" t="str">
        <f aca="false">IF(H148&gt;=Summary!$L$6,"Eligible","Shortage")</f>
        <v>Eligible</v>
      </c>
      <c r="J148" s="12" t="str">
        <f aca="false">IF(H148&lt;Summary!$L$8,"YES","No")</f>
        <v>No</v>
      </c>
      <c r="K148" s="12" t="str">
        <f aca="false">IF(H148&gt;=Summary!$L$7,"Counted","Not Counted")</f>
        <v>Counted</v>
      </c>
      <c r="L148" s="17" t="n">
        <f aca="false">IF(H148&gt;=Summary!$L$6,20,ROUND(H148/Summary!$L$6*10,1)*2)</f>
        <v>20</v>
      </c>
      <c r="M148" s="37" t="n">
        <f aca="false">20-L148</f>
        <v>0</v>
      </c>
      <c r="N148" s="12" t="str">
        <f aca="false">IF(H148&gt;=Summary!$L$6,"75%+ (all benefits)",IF(H148&gt;=Summary!$L$7,"55-74%",IF(H148&gt;=Summary!$L$8,"30-54%","Below 30%")))</f>
        <v>75%+ (all benefits)</v>
      </c>
      <c r="O148" s="13" t="n">
        <f aca="false">(E148+Summary!$L$13)/(G148+Summary!$L$13)</f>
        <v>0.856540084388186</v>
      </c>
      <c r="P148" s="17" t="n">
        <f aca="false">IF(O148&gt;=Summary!$L$6,20,ROUND(O148/Summary!$L$6*10,1)*2)</f>
        <v>20</v>
      </c>
      <c r="Q148" s="38" t="n">
        <f aca="false">P148-L148</f>
        <v>0</v>
      </c>
      <c r="R148" s="12" t="str">
        <f aca="false">IF(O148&gt;=Summary!$L$6,"75%+ (all benefits)",IF(O148&gt;=Summary!$L$7,"55-74%",IF(O148&gt;=Summary!$L$8,"30-54%","Below 30%")))</f>
        <v>75%+ (all benefits)</v>
      </c>
      <c r="S148" s="39" t="n">
        <f aca="false">MAX(0,ROUNDUP(Summary!$L$6*(G148+Summary!$L$13)-E148,0))</f>
        <v>63</v>
      </c>
      <c r="T148" s="39" t="n">
        <f aca="false">MAX(0,ROUNDUP(Summary!$L$7*(G148+Summary!$L$13)-E148,0))</f>
        <v>0</v>
      </c>
      <c r="U148" s="39" t="n">
        <f aca="false">MAX(0,ROUNDUP(Summary!$L$8*(G148+Summary!$L$13)-E148,0))</f>
        <v>0</v>
      </c>
    </row>
    <row r="149" customFormat="false" ht="15" hidden="false" customHeight="false" outlineLevel="0" collapsed="false">
      <c r="A149" s="40" t="n">
        <v>144</v>
      </c>
      <c r="B149" s="40" t="s">
        <v>27</v>
      </c>
      <c r="C149" s="40" t="s">
        <v>383</v>
      </c>
      <c r="D149" s="41" t="s">
        <v>384</v>
      </c>
      <c r="E149" s="40" t="n">
        <v>215</v>
      </c>
      <c r="F149" s="40" t="n">
        <v>146</v>
      </c>
      <c r="G149" s="40" t="n">
        <v>361</v>
      </c>
      <c r="H149" s="36" t="n">
        <f aca="false">ROUND(E149/G149*100,0)/100</f>
        <v>0.6</v>
      </c>
      <c r="I149" s="12" t="str">
        <f aca="false">IF(H149&gt;=Summary!$L$6,"Eligible","Shortage")</f>
        <v>Shortage</v>
      </c>
      <c r="J149" s="12" t="str">
        <f aca="false">IF(H149&lt;Summary!$L$8,"YES","No")</f>
        <v>No</v>
      </c>
      <c r="K149" s="12" t="str">
        <f aca="false">IF(H149&gt;=Summary!$L$7,"Counted","Not Counted")</f>
        <v>Counted</v>
      </c>
      <c r="L149" s="17" t="n">
        <f aca="false">IF(H149&gt;=Summary!$L$6,20,ROUND(H149/Summary!$L$6*10,1)*2)</f>
        <v>16</v>
      </c>
      <c r="M149" s="37" t="n">
        <f aca="false">20-L149</f>
        <v>4</v>
      </c>
      <c r="N149" s="12" t="str">
        <f aca="false">IF(H149&gt;=Summary!$L$6,"75%+ (all benefits)",IF(H149&gt;=Summary!$L$7,"55-74%",IF(H149&gt;=Summary!$L$8,"30-54%","Below 30%")))</f>
        <v>55-74%</v>
      </c>
      <c r="O149" s="13" t="n">
        <f aca="false">(E149+Summary!$L$13)/(G149+Summary!$L$13)</f>
        <v>0.691983122362869</v>
      </c>
      <c r="P149" s="17" t="n">
        <f aca="false">IF(O149&gt;=Summary!$L$6,20,ROUND(O149/Summary!$L$6*10,1)*2)</f>
        <v>18.4</v>
      </c>
      <c r="Q149" s="38" t="n">
        <f aca="false">P149-L149</f>
        <v>2.4</v>
      </c>
      <c r="R149" s="12" t="str">
        <f aca="false">IF(O149&gt;=Summary!$L$6,"75%+ (all benefits)",IF(O149&gt;=Summary!$L$7,"55-74%",IF(O149&gt;=Summary!$L$8,"30-54%","Below 30%")))</f>
        <v>55-74%</v>
      </c>
      <c r="S149" s="39" t="n">
        <f aca="false">MAX(0,ROUNDUP(Summary!$L$6*(G149+Summary!$L$13)-E149,0))</f>
        <v>141</v>
      </c>
      <c r="T149" s="39" t="n">
        <f aca="false">MAX(0,ROUNDUP(Summary!$L$7*(G149+Summary!$L$13)-E149,0))</f>
        <v>46</v>
      </c>
      <c r="U149" s="39" t="n">
        <f aca="false">MAX(0,ROUNDUP(Summary!$L$8*(G149+Summary!$L$13)-E149,0))</f>
        <v>0</v>
      </c>
    </row>
    <row r="150" customFormat="false" ht="15" hidden="false" customHeight="false" outlineLevel="0" collapsed="false">
      <c r="A150" s="12" t="n">
        <v>145</v>
      </c>
      <c r="B150" s="12" t="s">
        <v>27</v>
      </c>
      <c r="C150" s="12" t="s">
        <v>78</v>
      </c>
      <c r="D150" s="32" t="s">
        <v>79</v>
      </c>
      <c r="E150" s="12" t="n">
        <v>9</v>
      </c>
      <c r="F150" s="12" t="n">
        <v>352</v>
      </c>
      <c r="G150" s="12" t="n">
        <v>361</v>
      </c>
      <c r="H150" s="36" t="n">
        <f aca="false">ROUND(E150/G150*100,0)/100</f>
        <v>0.02</v>
      </c>
      <c r="I150" s="12" t="str">
        <f aca="false">IF(H150&gt;=Summary!$L$6,"Eligible","Shortage")</f>
        <v>Shortage</v>
      </c>
      <c r="J150" s="12" t="str">
        <f aca="false">IF(H150&lt;Summary!$L$8,"YES","No")</f>
        <v>YES</v>
      </c>
      <c r="K150" s="12" t="str">
        <f aca="false">IF(H150&gt;=Summary!$L$7,"Counted","Not Counted")</f>
        <v>Not Counted</v>
      </c>
      <c r="L150" s="17" t="n">
        <f aca="false">IF(H150&gt;=Summary!$L$6,20,ROUND(H150/Summary!$L$6*10,1)*2)</f>
        <v>0.6</v>
      </c>
      <c r="M150" s="37" t="n">
        <f aca="false">20-L150</f>
        <v>19.4</v>
      </c>
      <c r="N150" s="12" t="str">
        <f aca="false">IF(H150&gt;=Summary!$L$6,"75%+ (all benefits)",IF(H150&gt;=Summary!$L$7,"55-74%",IF(H150&gt;=Summary!$L$8,"30-54%","Below 30%")))</f>
        <v>Below 30%</v>
      </c>
      <c r="O150" s="13" t="n">
        <f aca="false">(E150+Summary!$L$13)/(G150+Summary!$L$13)</f>
        <v>0.257383966244726</v>
      </c>
      <c r="P150" s="17" t="n">
        <f aca="false">IF(O150&gt;=Summary!$L$6,20,ROUND(O150/Summary!$L$6*10,1)*2)</f>
        <v>6.8</v>
      </c>
      <c r="Q150" s="38" t="n">
        <f aca="false">P150-L150</f>
        <v>6.2</v>
      </c>
      <c r="R150" s="12" t="str">
        <f aca="false">IF(O150&gt;=Summary!$L$6,"75%+ (all benefits)",IF(O150&gt;=Summary!$L$7,"55-74%",IF(O150&gt;=Summary!$L$8,"30-54%","Below 30%")))</f>
        <v>Below 30%</v>
      </c>
      <c r="S150" s="39" t="n">
        <f aca="false">MAX(0,ROUNDUP(Summary!$L$6*(G150+Summary!$L$13)-E150,0))</f>
        <v>347</v>
      </c>
      <c r="T150" s="39" t="n">
        <f aca="false">MAX(0,ROUNDUP(Summary!$L$7*(G150+Summary!$L$13)-E150,0))</f>
        <v>252</v>
      </c>
      <c r="U150" s="39" t="n">
        <f aca="false">MAX(0,ROUNDUP(Summary!$L$8*(G150+Summary!$L$13)-E150,0))</f>
        <v>134</v>
      </c>
    </row>
    <row r="151" customFormat="false" ht="15" hidden="false" customHeight="false" outlineLevel="0" collapsed="false">
      <c r="A151" s="40" t="n">
        <v>146</v>
      </c>
      <c r="B151" s="40" t="s">
        <v>27</v>
      </c>
      <c r="C151" s="40" t="s">
        <v>385</v>
      </c>
      <c r="D151" s="41" t="s">
        <v>386</v>
      </c>
      <c r="E151" s="40" t="n">
        <v>148</v>
      </c>
      <c r="F151" s="40" t="n">
        <v>213</v>
      </c>
      <c r="G151" s="40" t="n">
        <v>361</v>
      </c>
      <c r="H151" s="36" t="n">
        <f aca="false">ROUND(E151/G151*100,0)/100</f>
        <v>0.41</v>
      </c>
      <c r="I151" s="12" t="str">
        <f aca="false">IF(H151&gt;=Summary!$L$6,"Eligible","Shortage")</f>
        <v>Shortage</v>
      </c>
      <c r="J151" s="12" t="str">
        <f aca="false">IF(H151&lt;Summary!$L$8,"YES","No")</f>
        <v>No</v>
      </c>
      <c r="K151" s="12" t="str">
        <f aca="false">IF(H151&gt;=Summary!$L$7,"Counted","Not Counted")</f>
        <v>Not Counted</v>
      </c>
      <c r="L151" s="17" t="n">
        <f aca="false">IF(H151&gt;=Summary!$L$6,20,ROUND(H151/Summary!$L$6*10,1)*2)</f>
        <v>11</v>
      </c>
      <c r="M151" s="37" t="n">
        <f aca="false">20-L151</f>
        <v>9</v>
      </c>
      <c r="N151" s="12" t="str">
        <f aca="false">IF(H151&gt;=Summary!$L$6,"75%+ (all benefits)",IF(H151&gt;=Summary!$L$7,"55-74%",IF(H151&gt;=Summary!$L$8,"30-54%","Below 30%")))</f>
        <v>30-54%</v>
      </c>
      <c r="O151" s="13" t="n">
        <f aca="false">(E151+Summary!$L$13)/(G151+Summary!$L$13)</f>
        <v>0.550632911392405</v>
      </c>
      <c r="P151" s="17" t="n">
        <f aca="false">IF(O151&gt;=Summary!$L$6,20,ROUND(O151/Summary!$L$6*10,1)*2)</f>
        <v>14.6</v>
      </c>
      <c r="Q151" s="38" t="n">
        <f aca="false">P151-L151</f>
        <v>3.6</v>
      </c>
      <c r="R151" s="12" t="str">
        <f aca="false">IF(O151&gt;=Summary!$L$6,"75%+ (all benefits)",IF(O151&gt;=Summary!$L$7,"55-74%",IF(O151&gt;=Summary!$L$8,"30-54%","Below 30%")))</f>
        <v>55-74%</v>
      </c>
      <c r="S151" s="39" t="n">
        <f aca="false">MAX(0,ROUNDUP(Summary!$L$6*(G151+Summary!$L$13)-E151,0))</f>
        <v>208</v>
      </c>
      <c r="T151" s="39" t="n">
        <f aca="false">MAX(0,ROUNDUP(Summary!$L$7*(G151+Summary!$L$13)-E151,0))</f>
        <v>113</v>
      </c>
      <c r="U151" s="39" t="n">
        <f aca="false">MAX(0,ROUNDUP(Summary!$L$8*(G151+Summary!$L$13)-E151,0))</f>
        <v>0</v>
      </c>
    </row>
    <row r="152" customFormat="false" ht="15" hidden="false" customHeight="false" outlineLevel="0" collapsed="false">
      <c r="A152" s="12" t="n">
        <v>147</v>
      </c>
      <c r="B152" s="12" t="s">
        <v>27</v>
      </c>
      <c r="C152" s="12" t="s">
        <v>387</v>
      </c>
      <c r="D152" s="32" t="s">
        <v>388</v>
      </c>
      <c r="E152" s="12" t="n">
        <v>297</v>
      </c>
      <c r="F152" s="12" t="n">
        <v>64</v>
      </c>
      <c r="G152" s="12" t="n">
        <v>361</v>
      </c>
      <c r="H152" s="36" t="n">
        <f aca="false">ROUND(E152/G152*100,0)/100</f>
        <v>0.82</v>
      </c>
      <c r="I152" s="12" t="str">
        <f aca="false">IF(H152&gt;=Summary!$L$6,"Eligible","Shortage")</f>
        <v>Eligible</v>
      </c>
      <c r="J152" s="12" t="str">
        <f aca="false">IF(H152&lt;Summary!$L$8,"YES","No")</f>
        <v>No</v>
      </c>
      <c r="K152" s="12" t="str">
        <f aca="false">IF(H152&gt;=Summary!$L$7,"Counted","Not Counted")</f>
        <v>Counted</v>
      </c>
      <c r="L152" s="17" t="n">
        <f aca="false">IF(H152&gt;=Summary!$L$6,20,ROUND(H152/Summary!$L$6*10,1)*2)</f>
        <v>20</v>
      </c>
      <c r="M152" s="37" t="n">
        <f aca="false">20-L152</f>
        <v>0</v>
      </c>
      <c r="N152" s="12" t="str">
        <f aca="false">IF(H152&gt;=Summary!$L$6,"75%+ (all benefits)",IF(H152&gt;=Summary!$L$7,"55-74%",IF(H152&gt;=Summary!$L$8,"30-54%","Below 30%")))</f>
        <v>75%+ (all benefits)</v>
      </c>
      <c r="O152" s="13" t="n">
        <f aca="false">(E152+Summary!$L$13)/(G152+Summary!$L$13)</f>
        <v>0.864978902953587</v>
      </c>
      <c r="P152" s="17" t="n">
        <f aca="false">IF(O152&gt;=Summary!$L$6,20,ROUND(O152/Summary!$L$6*10,1)*2)</f>
        <v>20</v>
      </c>
      <c r="Q152" s="38" t="n">
        <f aca="false">P152-L152</f>
        <v>0</v>
      </c>
      <c r="R152" s="12" t="str">
        <f aca="false">IF(O152&gt;=Summary!$L$6,"75%+ (all benefits)",IF(O152&gt;=Summary!$L$7,"55-74%",IF(O152&gt;=Summary!$L$8,"30-54%","Below 30%")))</f>
        <v>75%+ (all benefits)</v>
      </c>
      <c r="S152" s="39" t="n">
        <f aca="false">MAX(0,ROUNDUP(Summary!$L$6*(G152+Summary!$L$13)-E152,0))</f>
        <v>59</v>
      </c>
      <c r="T152" s="39" t="n">
        <f aca="false">MAX(0,ROUNDUP(Summary!$L$7*(G152+Summary!$L$13)-E152,0))</f>
        <v>0</v>
      </c>
      <c r="U152" s="39" t="n">
        <f aca="false">MAX(0,ROUNDUP(Summary!$L$8*(G152+Summary!$L$13)-E152,0))</f>
        <v>0</v>
      </c>
    </row>
    <row r="153" customFormat="false" ht="15" hidden="false" customHeight="false" outlineLevel="0" collapsed="false">
      <c r="A153" s="40" t="n">
        <v>148</v>
      </c>
      <c r="B153" s="40" t="s">
        <v>27</v>
      </c>
      <c r="C153" s="40" t="s">
        <v>389</v>
      </c>
      <c r="D153" s="41" t="s">
        <v>390</v>
      </c>
      <c r="E153" s="40" t="n">
        <v>224</v>
      </c>
      <c r="F153" s="40" t="n">
        <v>137</v>
      </c>
      <c r="G153" s="40" t="n">
        <v>361</v>
      </c>
      <c r="H153" s="36" t="n">
        <f aca="false">ROUND(E153/G153*100,0)/100</f>
        <v>0.62</v>
      </c>
      <c r="I153" s="12" t="str">
        <f aca="false">IF(H153&gt;=Summary!$L$6,"Eligible","Shortage")</f>
        <v>Shortage</v>
      </c>
      <c r="J153" s="12" t="str">
        <f aca="false">IF(H153&lt;Summary!$L$8,"YES","No")</f>
        <v>No</v>
      </c>
      <c r="K153" s="12" t="str">
        <f aca="false">IF(H153&gt;=Summary!$L$7,"Counted","Not Counted")</f>
        <v>Counted</v>
      </c>
      <c r="L153" s="17" t="n">
        <f aca="false">IF(H153&gt;=Summary!$L$6,20,ROUND(H153/Summary!$L$6*10,1)*2)</f>
        <v>16.6</v>
      </c>
      <c r="M153" s="37" t="n">
        <f aca="false">20-L153</f>
        <v>3.4</v>
      </c>
      <c r="N153" s="12" t="str">
        <f aca="false">IF(H153&gt;=Summary!$L$6,"75%+ (all benefits)",IF(H153&gt;=Summary!$L$7,"55-74%",IF(H153&gt;=Summary!$L$8,"30-54%","Below 30%")))</f>
        <v>55-74%</v>
      </c>
      <c r="O153" s="13" t="n">
        <f aca="false">(E153+Summary!$L$13)/(G153+Summary!$L$13)</f>
        <v>0.710970464135021</v>
      </c>
      <c r="P153" s="17" t="n">
        <f aca="false">IF(O153&gt;=Summary!$L$6,20,ROUND(O153/Summary!$L$6*10,1)*2)</f>
        <v>19</v>
      </c>
      <c r="Q153" s="38" t="n">
        <f aca="false">P153-L153</f>
        <v>2.4</v>
      </c>
      <c r="R153" s="12" t="str">
        <f aca="false">IF(O153&gt;=Summary!$L$6,"75%+ (all benefits)",IF(O153&gt;=Summary!$L$7,"55-74%",IF(O153&gt;=Summary!$L$8,"30-54%","Below 30%")))</f>
        <v>55-74%</v>
      </c>
      <c r="S153" s="39" t="n">
        <f aca="false">MAX(0,ROUNDUP(Summary!$L$6*(G153+Summary!$L$13)-E153,0))</f>
        <v>132</v>
      </c>
      <c r="T153" s="39" t="n">
        <f aca="false">MAX(0,ROUNDUP(Summary!$L$7*(G153+Summary!$L$13)-E153,0))</f>
        <v>37</v>
      </c>
      <c r="U153" s="39" t="n">
        <f aca="false">MAX(0,ROUNDUP(Summary!$L$8*(G153+Summary!$L$13)-E153,0))</f>
        <v>0</v>
      </c>
    </row>
    <row r="154" customFormat="false" ht="15" hidden="false" customHeight="false" outlineLevel="0" collapsed="false">
      <c r="A154" s="12" t="n">
        <v>149</v>
      </c>
      <c r="B154" s="12" t="s">
        <v>27</v>
      </c>
      <c r="C154" s="12" t="s">
        <v>391</v>
      </c>
      <c r="D154" s="32" t="s">
        <v>392</v>
      </c>
      <c r="E154" s="12" t="n">
        <v>196</v>
      </c>
      <c r="F154" s="12" t="n">
        <v>165</v>
      </c>
      <c r="G154" s="12" t="n">
        <v>361</v>
      </c>
      <c r="H154" s="36" t="n">
        <f aca="false">ROUND(E154/G154*100,0)/100</f>
        <v>0.54</v>
      </c>
      <c r="I154" s="12" t="str">
        <f aca="false">IF(H154&gt;=Summary!$L$6,"Eligible","Shortage")</f>
        <v>Shortage</v>
      </c>
      <c r="J154" s="12" t="str">
        <f aca="false">IF(H154&lt;Summary!$L$8,"YES","No")</f>
        <v>No</v>
      </c>
      <c r="K154" s="12" t="str">
        <f aca="false">IF(H154&gt;=Summary!$L$7,"Counted","Not Counted")</f>
        <v>Not Counted</v>
      </c>
      <c r="L154" s="17" t="n">
        <f aca="false">IF(H154&gt;=Summary!$L$6,20,ROUND(H154/Summary!$L$6*10,1)*2)</f>
        <v>14.4</v>
      </c>
      <c r="M154" s="37" t="n">
        <f aca="false">20-L154</f>
        <v>5.6</v>
      </c>
      <c r="N154" s="12" t="str">
        <f aca="false">IF(H154&gt;=Summary!$L$6,"75%+ (all benefits)",IF(H154&gt;=Summary!$L$7,"55-74%",IF(H154&gt;=Summary!$L$8,"30-54%","Below 30%")))</f>
        <v>30-54%</v>
      </c>
      <c r="O154" s="13" t="n">
        <f aca="false">(E154+Summary!$L$13)/(G154+Summary!$L$13)</f>
        <v>0.651898734177215</v>
      </c>
      <c r="P154" s="17" t="n">
        <f aca="false">IF(O154&gt;=Summary!$L$6,20,ROUND(O154/Summary!$L$6*10,1)*2)</f>
        <v>17.4</v>
      </c>
      <c r="Q154" s="38" t="n">
        <f aca="false">P154-L154</f>
        <v>3</v>
      </c>
      <c r="R154" s="12" t="str">
        <f aca="false">IF(O154&gt;=Summary!$L$6,"75%+ (all benefits)",IF(O154&gt;=Summary!$L$7,"55-74%",IF(O154&gt;=Summary!$L$8,"30-54%","Below 30%")))</f>
        <v>55-74%</v>
      </c>
      <c r="S154" s="39" t="n">
        <f aca="false">MAX(0,ROUNDUP(Summary!$L$6*(G154+Summary!$L$13)-E154,0))</f>
        <v>160</v>
      </c>
      <c r="T154" s="39" t="n">
        <f aca="false">MAX(0,ROUNDUP(Summary!$L$7*(G154+Summary!$L$13)-E154,0))</f>
        <v>65</v>
      </c>
      <c r="U154" s="39" t="n">
        <f aca="false">MAX(0,ROUNDUP(Summary!$L$8*(G154+Summary!$L$13)-E154,0))</f>
        <v>0</v>
      </c>
    </row>
    <row r="155" customFormat="false" ht="15" hidden="false" customHeight="false" outlineLevel="0" collapsed="false">
      <c r="A155" s="40" t="n">
        <v>150</v>
      </c>
      <c r="B155" s="40" t="s">
        <v>27</v>
      </c>
      <c r="C155" s="40" t="s">
        <v>393</v>
      </c>
      <c r="D155" s="41" t="s">
        <v>394</v>
      </c>
      <c r="E155" s="40" t="n">
        <v>238</v>
      </c>
      <c r="F155" s="40" t="n">
        <v>123</v>
      </c>
      <c r="G155" s="40" t="n">
        <v>361</v>
      </c>
      <c r="H155" s="36" t="n">
        <f aca="false">ROUND(E155/G155*100,0)/100</f>
        <v>0.66</v>
      </c>
      <c r="I155" s="12" t="str">
        <f aca="false">IF(H155&gt;=Summary!$L$6,"Eligible","Shortage")</f>
        <v>Shortage</v>
      </c>
      <c r="J155" s="12" t="str">
        <f aca="false">IF(H155&lt;Summary!$L$8,"YES","No")</f>
        <v>No</v>
      </c>
      <c r="K155" s="12" t="str">
        <f aca="false">IF(H155&gt;=Summary!$L$7,"Counted","Not Counted")</f>
        <v>Counted</v>
      </c>
      <c r="L155" s="17" t="n">
        <f aca="false">IF(H155&gt;=Summary!$L$6,20,ROUND(H155/Summary!$L$6*10,1)*2)</f>
        <v>17.6</v>
      </c>
      <c r="M155" s="37" t="n">
        <f aca="false">20-L155</f>
        <v>2.4</v>
      </c>
      <c r="N155" s="12" t="str">
        <f aca="false">IF(H155&gt;=Summary!$L$6,"75%+ (all benefits)",IF(H155&gt;=Summary!$L$7,"55-74%",IF(H155&gt;=Summary!$L$8,"30-54%","Below 30%")))</f>
        <v>55-74%</v>
      </c>
      <c r="O155" s="13" t="n">
        <f aca="false">(E155+Summary!$L$13)/(G155+Summary!$L$13)</f>
        <v>0.740506329113924</v>
      </c>
      <c r="P155" s="17" t="n">
        <f aca="false">IF(O155&gt;=Summary!$L$6,20,ROUND(O155/Summary!$L$6*10,1)*2)</f>
        <v>19.8</v>
      </c>
      <c r="Q155" s="38" t="n">
        <f aca="false">P155-L155</f>
        <v>2.2</v>
      </c>
      <c r="R155" s="12" t="str">
        <f aca="false">IF(O155&gt;=Summary!$L$6,"75%+ (all benefits)",IF(O155&gt;=Summary!$L$7,"55-74%",IF(O155&gt;=Summary!$L$8,"30-54%","Below 30%")))</f>
        <v>55-74%</v>
      </c>
      <c r="S155" s="39" t="n">
        <f aca="false">MAX(0,ROUNDUP(Summary!$L$6*(G155+Summary!$L$13)-E155,0))</f>
        <v>118</v>
      </c>
      <c r="T155" s="39" t="n">
        <f aca="false">MAX(0,ROUNDUP(Summary!$L$7*(G155+Summary!$L$13)-E155,0))</f>
        <v>23</v>
      </c>
      <c r="U155" s="39" t="n">
        <f aca="false">MAX(0,ROUNDUP(Summary!$L$8*(G155+Summary!$L$13)-E155,0))</f>
        <v>0</v>
      </c>
    </row>
    <row r="156" customFormat="false" ht="15" hidden="false" customHeight="false" outlineLevel="0" collapsed="false">
      <c r="A156" s="12" t="n">
        <v>151</v>
      </c>
      <c r="B156" s="12" t="s">
        <v>27</v>
      </c>
      <c r="C156" s="12" t="s">
        <v>395</v>
      </c>
      <c r="D156" s="32" t="s">
        <v>396</v>
      </c>
      <c r="E156" s="12" t="n">
        <v>260</v>
      </c>
      <c r="F156" s="12" t="n">
        <v>101</v>
      </c>
      <c r="G156" s="12" t="n">
        <v>361</v>
      </c>
      <c r="H156" s="36" t="n">
        <f aca="false">ROUND(E156/G156*100,0)/100</f>
        <v>0.72</v>
      </c>
      <c r="I156" s="12" t="str">
        <f aca="false">IF(H156&gt;=Summary!$L$6,"Eligible","Shortage")</f>
        <v>Shortage</v>
      </c>
      <c r="J156" s="12" t="str">
        <f aca="false">IF(H156&lt;Summary!$L$8,"YES","No")</f>
        <v>No</v>
      </c>
      <c r="K156" s="12" t="str">
        <f aca="false">IF(H156&gt;=Summary!$L$7,"Counted","Not Counted")</f>
        <v>Counted</v>
      </c>
      <c r="L156" s="17" t="n">
        <f aca="false">IF(H156&gt;=Summary!$L$6,20,ROUND(H156/Summary!$L$6*10,1)*2)</f>
        <v>19.2</v>
      </c>
      <c r="M156" s="37" t="n">
        <f aca="false">20-L156</f>
        <v>0.800000000000001</v>
      </c>
      <c r="N156" s="12" t="str">
        <f aca="false">IF(H156&gt;=Summary!$L$6,"75%+ (all benefits)",IF(H156&gt;=Summary!$L$7,"55-74%",IF(H156&gt;=Summary!$L$8,"30-54%","Below 30%")))</f>
        <v>55-74%</v>
      </c>
      <c r="O156" s="13" t="n">
        <f aca="false">(E156+Summary!$L$13)/(G156+Summary!$L$13)</f>
        <v>0.786919831223629</v>
      </c>
      <c r="P156" s="17" t="n">
        <f aca="false">IF(O156&gt;=Summary!$L$6,20,ROUND(O156/Summary!$L$6*10,1)*2)</f>
        <v>20</v>
      </c>
      <c r="Q156" s="38" t="n">
        <f aca="false">P156-L156</f>
        <v>0.800000000000001</v>
      </c>
      <c r="R156" s="12" t="str">
        <f aca="false">IF(O156&gt;=Summary!$L$6,"75%+ (all benefits)",IF(O156&gt;=Summary!$L$7,"55-74%",IF(O156&gt;=Summary!$L$8,"30-54%","Below 30%")))</f>
        <v>75%+ (all benefits)</v>
      </c>
      <c r="S156" s="39" t="n">
        <f aca="false">MAX(0,ROUNDUP(Summary!$L$6*(G156+Summary!$L$13)-E156,0))</f>
        <v>96</v>
      </c>
      <c r="T156" s="39" t="n">
        <f aca="false">MAX(0,ROUNDUP(Summary!$L$7*(G156+Summary!$L$13)-E156,0))</f>
        <v>1</v>
      </c>
      <c r="U156" s="39" t="n">
        <f aca="false">MAX(0,ROUNDUP(Summary!$L$8*(G156+Summary!$L$13)-E156,0))</f>
        <v>0</v>
      </c>
    </row>
    <row r="157" customFormat="false" ht="15" hidden="false" customHeight="false" outlineLevel="0" collapsed="false">
      <c r="A157" s="40" t="n">
        <v>152</v>
      </c>
      <c r="B157" s="40" t="s">
        <v>27</v>
      </c>
      <c r="C157" s="40" t="s">
        <v>397</v>
      </c>
      <c r="D157" s="41" t="s">
        <v>398</v>
      </c>
      <c r="E157" s="40" t="n">
        <v>232</v>
      </c>
      <c r="F157" s="40" t="n">
        <v>129</v>
      </c>
      <c r="G157" s="40" t="n">
        <v>361</v>
      </c>
      <c r="H157" s="36" t="n">
        <f aca="false">ROUND(E157/G157*100,0)/100</f>
        <v>0.64</v>
      </c>
      <c r="I157" s="12" t="str">
        <f aca="false">IF(H157&gt;=Summary!$L$6,"Eligible","Shortage")</f>
        <v>Shortage</v>
      </c>
      <c r="J157" s="12" t="str">
        <f aca="false">IF(H157&lt;Summary!$L$8,"YES","No")</f>
        <v>No</v>
      </c>
      <c r="K157" s="12" t="str">
        <f aca="false">IF(H157&gt;=Summary!$L$7,"Counted","Not Counted")</f>
        <v>Counted</v>
      </c>
      <c r="L157" s="17" t="n">
        <f aca="false">IF(H157&gt;=Summary!$L$6,20,ROUND(H157/Summary!$L$6*10,1)*2)</f>
        <v>17</v>
      </c>
      <c r="M157" s="37" t="n">
        <f aca="false">20-L157</f>
        <v>3</v>
      </c>
      <c r="N157" s="12" t="str">
        <f aca="false">IF(H157&gt;=Summary!$L$6,"75%+ (all benefits)",IF(H157&gt;=Summary!$L$7,"55-74%",IF(H157&gt;=Summary!$L$8,"30-54%","Below 30%")))</f>
        <v>55-74%</v>
      </c>
      <c r="O157" s="13" t="n">
        <f aca="false">(E157+Summary!$L$13)/(G157+Summary!$L$13)</f>
        <v>0.727848101265823</v>
      </c>
      <c r="P157" s="17" t="n">
        <f aca="false">IF(O157&gt;=Summary!$L$6,20,ROUND(O157/Summary!$L$6*10,1)*2)</f>
        <v>19.4</v>
      </c>
      <c r="Q157" s="38" t="n">
        <f aca="false">P157-L157</f>
        <v>2.4</v>
      </c>
      <c r="R157" s="12" t="str">
        <f aca="false">IF(O157&gt;=Summary!$L$6,"75%+ (all benefits)",IF(O157&gt;=Summary!$L$7,"55-74%",IF(O157&gt;=Summary!$L$8,"30-54%","Below 30%")))</f>
        <v>55-74%</v>
      </c>
      <c r="S157" s="39" t="n">
        <f aca="false">MAX(0,ROUNDUP(Summary!$L$6*(G157+Summary!$L$13)-E157,0))</f>
        <v>124</v>
      </c>
      <c r="T157" s="39" t="n">
        <f aca="false">MAX(0,ROUNDUP(Summary!$L$7*(G157+Summary!$L$13)-E157,0))</f>
        <v>29</v>
      </c>
      <c r="U157" s="39" t="n">
        <f aca="false">MAX(0,ROUNDUP(Summary!$L$8*(G157+Summary!$L$13)-E157,0))</f>
        <v>0</v>
      </c>
    </row>
    <row r="158" customFormat="false" ht="15" hidden="false" customHeight="false" outlineLevel="0" collapsed="false">
      <c r="A158" s="12" t="n">
        <v>153</v>
      </c>
      <c r="B158" s="12" t="s">
        <v>27</v>
      </c>
      <c r="C158" s="12" t="s">
        <v>399</v>
      </c>
      <c r="D158" s="32" t="s">
        <v>400</v>
      </c>
      <c r="E158" s="12" t="n">
        <v>278</v>
      </c>
      <c r="F158" s="12" t="n">
        <v>83</v>
      </c>
      <c r="G158" s="12" t="n">
        <v>361</v>
      </c>
      <c r="H158" s="36" t="n">
        <f aca="false">ROUND(E158/G158*100,0)/100</f>
        <v>0.77</v>
      </c>
      <c r="I158" s="12" t="str">
        <f aca="false">IF(H158&gt;=Summary!$L$6,"Eligible","Shortage")</f>
        <v>Eligible</v>
      </c>
      <c r="J158" s="12" t="str">
        <f aca="false">IF(H158&lt;Summary!$L$8,"YES","No")</f>
        <v>No</v>
      </c>
      <c r="K158" s="12" t="str">
        <f aca="false">IF(H158&gt;=Summary!$L$7,"Counted","Not Counted")</f>
        <v>Counted</v>
      </c>
      <c r="L158" s="17" t="n">
        <f aca="false">IF(H158&gt;=Summary!$L$6,20,ROUND(H158/Summary!$L$6*10,1)*2)</f>
        <v>20</v>
      </c>
      <c r="M158" s="37" t="n">
        <f aca="false">20-L158</f>
        <v>0</v>
      </c>
      <c r="N158" s="12" t="str">
        <f aca="false">IF(H158&gt;=Summary!$L$6,"75%+ (all benefits)",IF(H158&gt;=Summary!$L$7,"55-74%",IF(H158&gt;=Summary!$L$8,"30-54%","Below 30%")))</f>
        <v>75%+ (all benefits)</v>
      </c>
      <c r="O158" s="13" t="n">
        <f aca="false">(E158+Summary!$L$13)/(G158+Summary!$L$13)</f>
        <v>0.824894514767933</v>
      </c>
      <c r="P158" s="17" t="n">
        <f aca="false">IF(O158&gt;=Summary!$L$6,20,ROUND(O158/Summary!$L$6*10,1)*2)</f>
        <v>20</v>
      </c>
      <c r="Q158" s="38" t="n">
        <f aca="false">P158-L158</f>
        <v>0</v>
      </c>
      <c r="R158" s="12" t="str">
        <f aca="false">IF(O158&gt;=Summary!$L$6,"75%+ (all benefits)",IF(O158&gt;=Summary!$L$7,"55-74%",IF(O158&gt;=Summary!$L$8,"30-54%","Below 30%")))</f>
        <v>75%+ (all benefits)</v>
      </c>
      <c r="S158" s="39" t="n">
        <f aca="false">MAX(0,ROUNDUP(Summary!$L$6*(G158+Summary!$L$13)-E158,0))</f>
        <v>78</v>
      </c>
      <c r="T158" s="39" t="n">
        <f aca="false">MAX(0,ROUNDUP(Summary!$L$7*(G158+Summary!$L$13)-E158,0))</f>
        <v>0</v>
      </c>
      <c r="U158" s="39" t="n">
        <f aca="false">MAX(0,ROUNDUP(Summary!$L$8*(G158+Summary!$L$13)-E158,0))</f>
        <v>0</v>
      </c>
    </row>
    <row r="159" customFormat="false" ht="15" hidden="false" customHeight="false" outlineLevel="0" collapsed="false">
      <c r="A159" s="40" t="n">
        <v>154</v>
      </c>
      <c r="B159" s="40" t="s">
        <v>27</v>
      </c>
      <c r="C159" s="40" t="s">
        <v>401</v>
      </c>
      <c r="D159" s="41" t="s">
        <v>402</v>
      </c>
      <c r="E159" s="40" t="n">
        <v>263</v>
      </c>
      <c r="F159" s="40" t="n">
        <v>98</v>
      </c>
      <c r="G159" s="40" t="n">
        <v>361</v>
      </c>
      <c r="H159" s="36" t="n">
        <f aca="false">ROUND(E159/G159*100,0)/100</f>
        <v>0.73</v>
      </c>
      <c r="I159" s="12" t="str">
        <f aca="false">IF(H159&gt;=Summary!$L$6,"Eligible","Shortage")</f>
        <v>Shortage</v>
      </c>
      <c r="J159" s="12" t="str">
        <f aca="false">IF(H159&lt;Summary!$L$8,"YES","No")</f>
        <v>No</v>
      </c>
      <c r="K159" s="12" t="str">
        <f aca="false">IF(H159&gt;=Summary!$L$7,"Counted","Not Counted")</f>
        <v>Counted</v>
      </c>
      <c r="L159" s="17" t="n">
        <f aca="false">IF(H159&gt;=Summary!$L$6,20,ROUND(H159/Summary!$L$6*10,1)*2)</f>
        <v>19.4</v>
      </c>
      <c r="M159" s="37" t="n">
        <f aca="false">20-L159</f>
        <v>0.600000000000001</v>
      </c>
      <c r="N159" s="12" t="str">
        <f aca="false">IF(H159&gt;=Summary!$L$6,"75%+ (all benefits)",IF(H159&gt;=Summary!$L$7,"55-74%",IF(H159&gt;=Summary!$L$8,"30-54%","Below 30%")))</f>
        <v>55-74%</v>
      </c>
      <c r="O159" s="13" t="n">
        <f aca="false">(E159+Summary!$L$13)/(G159+Summary!$L$13)</f>
        <v>0.793248945147679</v>
      </c>
      <c r="P159" s="17" t="n">
        <f aca="false">IF(O159&gt;=Summary!$L$6,20,ROUND(O159/Summary!$L$6*10,1)*2)</f>
        <v>20</v>
      </c>
      <c r="Q159" s="38" t="n">
        <f aca="false">P159-L159</f>
        <v>0.600000000000001</v>
      </c>
      <c r="R159" s="12" t="str">
        <f aca="false">IF(O159&gt;=Summary!$L$6,"75%+ (all benefits)",IF(O159&gt;=Summary!$L$7,"55-74%",IF(O159&gt;=Summary!$L$8,"30-54%","Below 30%")))</f>
        <v>75%+ (all benefits)</v>
      </c>
      <c r="S159" s="39" t="n">
        <f aca="false">MAX(0,ROUNDUP(Summary!$L$6*(G159+Summary!$L$13)-E159,0))</f>
        <v>93</v>
      </c>
      <c r="T159" s="39" t="n">
        <f aca="false">MAX(0,ROUNDUP(Summary!$L$7*(G159+Summary!$L$13)-E159,0))</f>
        <v>0</v>
      </c>
      <c r="U159" s="39" t="n">
        <f aca="false">MAX(0,ROUNDUP(Summary!$L$8*(G159+Summary!$L$13)-E159,0))</f>
        <v>0</v>
      </c>
    </row>
    <row r="160" customFormat="false" ht="15" hidden="false" customHeight="false" outlineLevel="0" collapsed="false">
      <c r="A160" s="12" t="n">
        <v>155</v>
      </c>
      <c r="B160" s="12" t="s">
        <v>27</v>
      </c>
      <c r="C160" s="12" t="s">
        <v>403</v>
      </c>
      <c r="D160" s="32" t="s">
        <v>404</v>
      </c>
      <c r="E160" s="12" t="n">
        <v>273</v>
      </c>
      <c r="F160" s="12" t="n">
        <v>88</v>
      </c>
      <c r="G160" s="12" t="n">
        <v>361</v>
      </c>
      <c r="H160" s="36" t="n">
        <f aca="false">ROUND(E160/G160*100,0)/100</f>
        <v>0.76</v>
      </c>
      <c r="I160" s="12" t="str">
        <f aca="false">IF(H160&gt;=Summary!$L$6,"Eligible","Shortage")</f>
        <v>Eligible</v>
      </c>
      <c r="J160" s="12" t="str">
        <f aca="false">IF(H160&lt;Summary!$L$8,"YES","No")</f>
        <v>No</v>
      </c>
      <c r="K160" s="12" t="str">
        <f aca="false">IF(H160&gt;=Summary!$L$7,"Counted","Not Counted")</f>
        <v>Counted</v>
      </c>
      <c r="L160" s="17" t="n">
        <f aca="false">IF(H160&gt;=Summary!$L$6,20,ROUND(H160/Summary!$L$6*10,1)*2)</f>
        <v>20</v>
      </c>
      <c r="M160" s="37" t="n">
        <f aca="false">20-L160</f>
        <v>0</v>
      </c>
      <c r="N160" s="12" t="str">
        <f aca="false">IF(H160&gt;=Summary!$L$6,"75%+ (all benefits)",IF(H160&gt;=Summary!$L$7,"55-74%",IF(H160&gt;=Summary!$L$8,"30-54%","Below 30%")))</f>
        <v>75%+ (all benefits)</v>
      </c>
      <c r="O160" s="13" t="n">
        <f aca="false">(E160+Summary!$L$13)/(G160+Summary!$L$13)</f>
        <v>0.814345991561182</v>
      </c>
      <c r="P160" s="17" t="n">
        <f aca="false">IF(O160&gt;=Summary!$L$6,20,ROUND(O160/Summary!$L$6*10,1)*2)</f>
        <v>20</v>
      </c>
      <c r="Q160" s="38" t="n">
        <f aca="false">P160-L160</f>
        <v>0</v>
      </c>
      <c r="R160" s="12" t="str">
        <f aca="false">IF(O160&gt;=Summary!$L$6,"75%+ (all benefits)",IF(O160&gt;=Summary!$L$7,"55-74%",IF(O160&gt;=Summary!$L$8,"30-54%","Below 30%")))</f>
        <v>75%+ (all benefits)</v>
      </c>
      <c r="S160" s="39" t="n">
        <f aca="false">MAX(0,ROUNDUP(Summary!$L$6*(G160+Summary!$L$13)-E160,0))</f>
        <v>83</v>
      </c>
      <c r="T160" s="39" t="n">
        <f aca="false">MAX(0,ROUNDUP(Summary!$L$7*(G160+Summary!$L$13)-E160,0))</f>
        <v>0</v>
      </c>
      <c r="U160" s="39" t="n">
        <f aca="false">MAX(0,ROUNDUP(Summary!$L$8*(G160+Summary!$L$13)-E160,0))</f>
        <v>0</v>
      </c>
    </row>
    <row r="161" customFormat="false" ht="15" hidden="false" customHeight="false" outlineLevel="0" collapsed="false">
      <c r="A161" s="40" t="n">
        <v>156</v>
      </c>
      <c r="B161" s="40" t="s">
        <v>27</v>
      </c>
      <c r="C161" s="40" t="s">
        <v>75</v>
      </c>
      <c r="D161" s="41" t="s">
        <v>76</v>
      </c>
      <c r="E161" s="40" t="n">
        <v>5</v>
      </c>
      <c r="F161" s="40" t="n">
        <v>356</v>
      </c>
      <c r="G161" s="40" t="n">
        <v>361</v>
      </c>
      <c r="H161" s="36" t="n">
        <f aca="false">ROUND(E161/G161*100,0)/100</f>
        <v>0.01</v>
      </c>
      <c r="I161" s="12" t="str">
        <f aca="false">IF(H161&gt;=Summary!$L$6,"Eligible","Shortage")</f>
        <v>Shortage</v>
      </c>
      <c r="J161" s="12" t="str">
        <f aca="false">IF(H161&lt;Summary!$L$8,"YES","No")</f>
        <v>YES</v>
      </c>
      <c r="K161" s="12" t="str">
        <f aca="false">IF(H161&gt;=Summary!$L$7,"Counted","Not Counted")</f>
        <v>Not Counted</v>
      </c>
      <c r="L161" s="17" t="n">
        <f aca="false">IF(H161&gt;=Summary!$L$6,20,ROUND(H161/Summary!$L$6*10,1)*2)</f>
        <v>0.2</v>
      </c>
      <c r="M161" s="37" t="n">
        <f aca="false">20-L161</f>
        <v>19.8</v>
      </c>
      <c r="N161" s="12" t="str">
        <f aca="false">IF(H161&gt;=Summary!$L$6,"75%+ (all benefits)",IF(H161&gt;=Summary!$L$7,"55-74%",IF(H161&gt;=Summary!$L$8,"30-54%","Below 30%")))</f>
        <v>Below 30%</v>
      </c>
      <c r="O161" s="13" t="n">
        <f aca="false">(E161+Summary!$L$13)/(G161+Summary!$L$13)</f>
        <v>0.248945147679325</v>
      </c>
      <c r="P161" s="17" t="n">
        <f aca="false">IF(O161&gt;=Summary!$L$6,20,ROUND(O161/Summary!$L$6*10,1)*2)</f>
        <v>6.6</v>
      </c>
      <c r="Q161" s="38" t="n">
        <f aca="false">P161-L161</f>
        <v>6.4</v>
      </c>
      <c r="R161" s="12" t="str">
        <f aca="false">IF(O161&gt;=Summary!$L$6,"75%+ (all benefits)",IF(O161&gt;=Summary!$L$7,"55-74%",IF(O161&gt;=Summary!$L$8,"30-54%","Below 30%")))</f>
        <v>Below 30%</v>
      </c>
      <c r="S161" s="39" t="n">
        <f aca="false">MAX(0,ROUNDUP(Summary!$L$6*(G161+Summary!$L$13)-E161,0))</f>
        <v>351</v>
      </c>
      <c r="T161" s="39" t="n">
        <f aca="false">MAX(0,ROUNDUP(Summary!$L$7*(G161+Summary!$L$13)-E161,0))</f>
        <v>256</v>
      </c>
      <c r="U161" s="39" t="n">
        <f aca="false">MAX(0,ROUNDUP(Summary!$L$8*(G161+Summary!$L$13)-E161,0))</f>
        <v>138</v>
      </c>
    </row>
    <row r="162" customFormat="false" ht="15" hidden="false" customHeight="false" outlineLevel="0" collapsed="false">
      <c r="A162" s="12" t="n">
        <v>157</v>
      </c>
      <c r="B162" s="12" t="s">
        <v>27</v>
      </c>
      <c r="C162" s="12" t="s">
        <v>405</v>
      </c>
      <c r="D162" s="32" t="s">
        <v>406</v>
      </c>
      <c r="E162" s="12" t="n">
        <v>312</v>
      </c>
      <c r="F162" s="12" t="n">
        <v>49</v>
      </c>
      <c r="G162" s="12" t="n">
        <v>361</v>
      </c>
      <c r="H162" s="36" t="n">
        <f aca="false">ROUND(E162/G162*100,0)/100</f>
        <v>0.86</v>
      </c>
      <c r="I162" s="12" t="str">
        <f aca="false">IF(H162&gt;=Summary!$L$6,"Eligible","Shortage")</f>
        <v>Eligible</v>
      </c>
      <c r="J162" s="12" t="str">
        <f aca="false">IF(H162&lt;Summary!$L$8,"YES","No")</f>
        <v>No</v>
      </c>
      <c r="K162" s="12" t="str">
        <f aca="false">IF(H162&gt;=Summary!$L$7,"Counted","Not Counted")</f>
        <v>Counted</v>
      </c>
      <c r="L162" s="17" t="n">
        <f aca="false">IF(H162&gt;=Summary!$L$6,20,ROUND(H162/Summary!$L$6*10,1)*2)</f>
        <v>20</v>
      </c>
      <c r="M162" s="37" t="n">
        <f aca="false">20-L162</f>
        <v>0</v>
      </c>
      <c r="N162" s="12" t="str">
        <f aca="false">IF(H162&gt;=Summary!$L$6,"75%+ (all benefits)",IF(H162&gt;=Summary!$L$7,"55-74%",IF(H162&gt;=Summary!$L$8,"30-54%","Below 30%")))</f>
        <v>75%+ (all benefits)</v>
      </c>
      <c r="O162" s="13" t="n">
        <f aca="false">(E162+Summary!$L$13)/(G162+Summary!$L$13)</f>
        <v>0.89662447257384</v>
      </c>
      <c r="P162" s="17" t="n">
        <f aca="false">IF(O162&gt;=Summary!$L$6,20,ROUND(O162/Summary!$L$6*10,1)*2)</f>
        <v>20</v>
      </c>
      <c r="Q162" s="38" t="n">
        <f aca="false">P162-L162</f>
        <v>0</v>
      </c>
      <c r="R162" s="12" t="str">
        <f aca="false">IF(O162&gt;=Summary!$L$6,"75%+ (all benefits)",IF(O162&gt;=Summary!$L$7,"55-74%",IF(O162&gt;=Summary!$L$8,"30-54%","Below 30%")))</f>
        <v>75%+ (all benefits)</v>
      </c>
      <c r="S162" s="39" t="n">
        <f aca="false">MAX(0,ROUNDUP(Summary!$L$6*(G162+Summary!$L$13)-E162,0))</f>
        <v>44</v>
      </c>
      <c r="T162" s="39" t="n">
        <f aca="false">MAX(0,ROUNDUP(Summary!$L$7*(G162+Summary!$L$13)-E162,0))</f>
        <v>0</v>
      </c>
      <c r="U162" s="39" t="n">
        <f aca="false">MAX(0,ROUNDUP(Summary!$L$8*(G162+Summary!$L$13)-E162,0))</f>
        <v>0</v>
      </c>
    </row>
    <row r="163" customFormat="false" ht="15" hidden="false" customHeight="false" outlineLevel="0" collapsed="false">
      <c r="A163" s="40" t="n">
        <v>158</v>
      </c>
      <c r="B163" s="40" t="s">
        <v>27</v>
      </c>
      <c r="C163" s="40" t="s">
        <v>82</v>
      </c>
      <c r="D163" s="41" t="s">
        <v>83</v>
      </c>
      <c r="E163" s="40" t="n">
        <v>25</v>
      </c>
      <c r="F163" s="40" t="n">
        <v>336</v>
      </c>
      <c r="G163" s="40" t="n">
        <v>361</v>
      </c>
      <c r="H163" s="36" t="n">
        <f aca="false">ROUND(E163/G163*100,0)/100</f>
        <v>0.07</v>
      </c>
      <c r="I163" s="12" t="str">
        <f aca="false">IF(H163&gt;=Summary!$L$6,"Eligible","Shortage")</f>
        <v>Shortage</v>
      </c>
      <c r="J163" s="12" t="str">
        <f aca="false">IF(H163&lt;Summary!$L$8,"YES","No")</f>
        <v>YES</v>
      </c>
      <c r="K163" s="12" t="str">
        <f aca="false">IF(H163&gt;=Summary!$L$7,"Counted","Not Counted")</f>
        <v>Not Counted</v>
      </c>
      <c r="L163" s="17" t="n">
        <f aca="false">IF(H163&gt;=Summary!$L$6,20,ROUND(H163/Summary!$L$6*10,1)*2)</f>
        <v>1.8</v>
      </c>
      <c r="M163" s="37" t="n">
        <f aca="false">20-L163</f>
        <v>18.2</v>
      </c>
      <c r="N163" s="12" t="str">
        <f aca="false">IF(H163&gt;=Summary!$L$6,"75%+ (all benefits)",IF(H163&gt;=Summary!$L$7,"55-74%",IF(H163&gt;=Summary!$L$8,"30-54%","Below 30%")))</f>
        <v>Below 30%</v>
      </c>
      <c r="O163" s="13" t="n">
        <f aca="false">(E163+Summary!$L$13)/(G163+Summary!$L$13)</f>
        <v>0.291139240506329</v>
      </c>
      <c r="P163" s="17" t="n">
        <f aca="false">IF(O163&gt;=Summary!$L$6,20,ROUND(O163/Summary!$L$6*10,1)*2)</f>
        <v>7.8</v>
      </c>
      <c r="Q163" s="38" t="n">
        <f aca="false">P163-L163</f>
        <v>6</v>
      </c>
      <c r="R163" s="12" t="str">
        <f aca="false">IF(O163&gt;=Summary!$L$6,"75%+ (all benefits)",IF(O163&gt;=Summary!$L$7,"55-74%",IF(O163&gt;=Summary!$L$8,"30-54%","Below 30%")))</f>
        <v>Below 30%</v>
      </c>
      <c r="S163" s="39" t="n">
        <f aca="false">MAX(0,ROUNDUP(Summary!$L$6*(G163+Summary!$L$13)-E163,0))</f>
        <v>331</v>
      </c>
      <c r="T163" s="39" t="n">
        <f aca="false">MAX(0,ROUNDUP(Summary!$L$7*(G163+Summary!$L$13)-E163,0))</f>
        <v>236</v>
      </c>
      <c r="U163" s="39" t="n">
        <f aca="false">MAX(0,ROUNDUP(Summary!$L$8*(G163+Summary!$L$13)-E163,0))</f>
        <v>118</v>
      </c>
    </row>
    <row r="164" customFormat="false" ht="15" hidden="false" customHeight="false" outlineLevel="0" collapsed="false">
      <c r="A164" s="12" t="n">
        <v>159</v>
      </c>
      <c r="B164" s="12" t="s">
        <v>27</v>
      </c>
      <c r="C164" s="12" t="s">
        <v>407</v>
      </c>
      <c r="D164" s="32" t="s">
        <v>408</v>
      </c>
      <c r="E164" s="12" t="n">
        <v>283</v>
      </c>
      <c r="F164" s="12" t="n">
        <v>78</v>
      </c>
      <c r="G164" s="12" t="n">
        <v>361</v>
      </c>
      <c r="H164" s="36" t="n">
        <f aca="false">ROUND(E164/G164*100,0)/100</f>
        <v>0.78</v>
      </c>
      <c r="I164" s="12" t="str">
        <f aca="false">IF(H164&gt;=Summary!$L$6,"Eligible","Shortage")</f>
        <v>Eligible</v>
      </c>
      <c r="J164" s="12" t="str">
        <f aca="false">IF(H164&lt;Summary!$L$8,"YES","No")</f>
        <v>No</v>
      </c>
      <c r="K164" s="12" t="str">
        <f aca="false">IF(H164&gt;=Summary!$L$7,"Counted","Not Counted")</f>
        <v>Counted</v>
      </c>
      <c r="L164" s="17" t="n">
        <f aca="false">IF(H164&gt;=Summary!$L$6,20,ROUND(H164/Summary!$L$6*10,1)*2)</f>
        <v>20</v>
      </c>
      <c r="M164" s="37" t="n">
        <f aca="false">20-L164</f>
        <v>0</v>
      </c>
      <c r="N164" s="12" t="str">
        <f aca="false">IF(H164&gt;=Summary!$L$6,"75%+ (all benefits)",IF(H164&gt;=Summary!$L$7,"55-74%",IF(H164&gt;=Summary!$L$8,"30-54%","Below 30%")))</f>
        <v>75%+ (all benefits)</v>
      </c>
      <c r="O164" s="13" t="n">
        <f aca="false">(E164+Summary!$L$13)/(G164+Summary!$L$13)</f>
        <v>0.835443037974684</v>
      </c>
      <c r="P164" s="17" t="n">
        <f aca="false">IF(O164&gt;=Summary!$L$6,20,ROUND(O164/Summary!$L$6*10,1)*2)</f>
        <v>20</v>
      </c>
      <c r="Q164" s="38" t="n">
        <f aca="false">P164-L164</f>
        <v>0</v>
      </c>
      <c r="R164" s="12" t="str">
        <f aca="false">IF(O164&gt;=Summary!$L$6,"75%+ (all benefits)",IF(O164&gt;=Summary!$L$7,"55-74%",IF(O164&gt;=Summary!$L$8,"30-54%","Below 30%")))</f>
        <v>75%+ (all benefits)</v>
      </c>
      <c r="S164" s="39" t="n">
        <f aca="false">MAX(0,ROUNDUP(Summary!$L$6*(G164+Summary!$L$13)-E164,0))</f>
        <v>73</v>
      </c>
      <c r="T164" s="39" t="n">
        <f aca="false">MAX(0,ROUNDUP(Summary!$L$7*(G164+Summary!$L$13)-E164,0))</f>
        <v>0</v>
      </c>
      <c r="U164" s="39" t="n">
        <f aca="false">MAX(0,ROUNDUP(Summary!$L$8*(G164+Summary!$L$13)-E164,0))</f>
        <v>0</v>
      </c>
    </row>
    <row r="165" customFormat="false" ht="15" hidden="false" customHeight="false" outlineLevel="0" collapsed="false">
      <c r="A165" s="40" t="n">
        <v>160</v>
      </c>
      <c r="B165" s="40" t="s">
        <v>27</v>
      </c>
      <c r="C165" s="40" t="s">
        <v>409</v>
      </c>
      <c r="D165" s="41" t="s">
        <v>410</v>
      </c>
      <c r="E165" s="40" t="n">
        <v>202</v>
      </c>
      <c r="F165" s="40" t="n">
        <v>159</v>
      </c>
      <c r="G165" s="40" t="n">
        <v>361</v>
      </c>
      <c r="H165" s="36" t="n">
        <f aca="false">ROUND(E165/G165*100,0)/100</f>
        <v>0.56</v>
      </c>
      <c r="I165" s="12" t="str">
        <f aca="false">IF(H165&gt;=Summary!$L$6,"Eligible","Shortage")</f>
        <v>Shortage</v>
      </c>
      <c r="J165" s="12" t="str">
        <f aca="false">IF(H165&lt;Summary!$L$8,"YES","No")</f>
        <v>No</v>
      </c>
      <c r="K165" s="12" t="str">
        <f aca="false">IF(H165&gt;=Summary!$L$7,"Counted","Not Counted")</f>
        <v>Counted</v>
      </c>
      <c r="L165" s="17" t="n">
        <f aca="false">IF(H165&gt;=Summary!$L$6,20,ROUND(H165/Summary!$L$6*10,1)*2)</f>
        <v>15</v>
      </c>
      <c r="M165" s="37" t="n">
        <f aca="false">20-L165</f>
        <v>5</v>
      </c>
      <c r="N165" s="12" t="str">
        <f aca="false">IF(H165&gt;=Summary!$L$6,"75%+ (all benefits)",IF(H165&gt;=Summary!$L$7,"55-74%",IF(H165&gt;=Summary!$L$8,"30-54%","Below 30%")))</f>
        <v>55-74%</v>
      </c>
      <c r="O165" s="13" t="n">
        <f aca="false">(E165+Summary!$L$13)/(G165+Summary!$L$13)</f>
        <v>0.664556962025316</v>
      </c>
      <c r="P165" s="17" t="n">
        <f aca="false">IF(O165&gt;=Summary!$L$6,20,ROUND(O165/Summary!$L$6*10,1)*2)</f>
        <v>17.8</v>
      </c>
      <c r="Q165" s="38" t="n">
        <f aca="false">P165-L165</f>
        <v>2.8</v>
      </c>
      <c r="R165" s="12" t="str">
        <f aca="false">IF(O165&gt;=Summary!$L$6,"75%+ (all benefits)",IF(O165&gt;=Summary!$L$7,"55-74%",IF(O165&gt;=Summary!$L$8,"30-54%","Below 30%")))</f>
        <v>55-74%</v>
      </c>
      <c r="S165" s="39" t="n">
        <f aca="false">MAX(0,ROUNDUP(Summary!$L$6*(G165+Summary!$L$13)-E165,0))</f>
        <v>154</v>
      </c>
      <c r="T165" s="39" t="n">
        <f aca="false">MAX(0,ROUNDUP(Summary!$L$7*(G165+Summary!$L$13)-E165,0))</f>
        <v>59</v>
      </c>
      <c r="U165" s="39" t="n">
        <f aca="false">MAX(0,ROUNDUP(Summary!$L$8*(G165+Summary!$L$13)-E165,0))</f>
        <v>0</v>
      </c>
    </row>
    <row r="166" customFormat="false" ht="15" hidden="false" customHeight="false" outlineLevel="0" collapsed="false">
      <c r="A166" s="12" t="n">
        <v>161</v>
      </c>
      <c r="B166" s="12" t="s">
        <v>27</v>
      </c>
      <c r="C166" s="12" t="s">
        <v>411</v>
      </c>
      <c r="D166" s="32" t="s">
        <v>412</v>
      </c>
      <c r="E166" s="12" t="n">
        <v>220</v>
      </c>
      <c r="F166" s="12" t="n">
        <v>141</v>
      </c>
      <c r="G166" s="12" t="n">
        <v>361</v>
      </c>
      <c r="H166" s="36" t="n">
        <f aca="false">ROUND(E166/G166*100,0)/100</f>
        <v>0.61</v>
      </c>
      <c r="I166" s="12" t="str">
        <f aca="false">IF(H166&gt;=Summary!$L$6,"Eligible","Shortage")</f>
        <v>Shortage</v>
      </c>
      <c r="J166" s="12" t="str">
        <f aca="false">IF(H166&lt;Summary!$L$8,"YES","No")</f>
        <v>No</v>
      </c>
      <c r="K166" s="12" t="str">
        <f aca="false">IF(H166&gt;=Summary!$L$7,"Counted","Not Counted")</f>
        <v>Counted</v>
      </c>
      <c r="L166" s="17" t="n">
        <f aca="false">IF(H166&gt;=Summary!$L$6,20,ROUND(H166/Summary!$L$6*10,1)*2)</f>
        <v>16.2</v>
      </c>
      <c r="M166" s="37" t="n">
        <f aca="false">20-L166</f>
        <v>3.8</v>
      </c>
      <c r="N166" s="12" t="str">
        <f aca="false">IF(H166&gt;=Summary!$L$6,"75%+ (all benefits)",IF(H166&gt;=Summary!$L$7,"55-74%",IF(H166&gt;=Summary!$L$8,"30-54%","Below 30%")))</f>
        <v>55-74%</v>
      </c>
      <c r="O166" s="13" t="n">
        <f aca="false">(E166+Summary!$L$13)/(G166+Summary!$L$13)</f>
        <v>0.70253164556962</v>
      </c>
      <c r="P166" s="17" t="n">
        <f aca="false">IF(O166&gt;=Summary!$L$6,20,ROUND(O166/Summary!$L$6*10,1)*2)</f>
        <v>18.8</v>
      </c>
      <c r="Q166" s="38" t="n">
        <f aca="false">P166-L166</f>
        <v>2.6</v>
      </c>
      <c r="R166" s="12" t="str">
        <f aca="false">IF(O166&gt;=Summary!$L$6,"75%+ (all benefits)",IF(O166&gt;=Summary!$L$7,"55-74%",IF(O166&gt;=Summary!$L$8,"30-54%","Below 30%")))</f>
        <v>55-74%</v>
      </c>
      <c r="S166" s="39" t="n">
        <f aca="false">MAX(0,ROUNDUP(Summary!$L$6*(G166+Summary!$L$13)-E166,0))</f>
        <v>136</v>
      </c>
      <c r="T166" s="39" t="n">
        <f aca="false">MAX(0,ROUNDUP(Summary!$L$7*(G166+Summary!$L$13)-E166,0))</f>
        <v>41</v>
      </c>
      <c r="U166" s="39" t="n">
        <f aca="false">MAX(0,ROUNDUP(Summary!$L$8*(G166+Summary!$L$13)-E166,0))</f>
        <v>0</v>
      </c>
    </row>
    <row r="167" customFormat="false" ht="15" hidden="false" customHeight="false" outlineLevel="0" collapsed="false">
      <c r="A167" s="40" t="n">
        <v>162</v>
      </c>
      <c r="B167" s="40" t="s">
        <v>27</v>
      </c>
      <c r="C167" s="40" t="s">
        <v>413</v>
      </c>
      <c r="D167" s="41" t="s">
        <v>414</v>
      </c>
      <c r="E167" s="40" t="n">
        <v>277</v>
      </c>
      <c r="F167" s="40" t="n">
        <v>84</v>
      </c>
      <c r="G167" s="40" t="n">
        <v>361</v>
      </c>
      <c r="H167" s="36" t="n">
        <f aca="false">ROUND(E167/G167*100,0)/100</f>
        <v>0.77</v>
      </c>
      <c r="I167" s="12" t="str">
        <f aca="false">IF(H167&gt;=Summary!$L$6,"Eligible","Shortage")</f>
        <v>Eligible</v>
      </c>
      <c r="J167" s="12" t="str">
        <f aca="false">IF(H167&lt;Summary!$L$8,"YES","No")</f>
        <v>No</v>
      </c>
      <c r="K167" s="12" t="str">
        <f aca="false">IF(H167&gt;=Summary!$L$7,"Counted","Not Counted")</f>
        <v>Counted</v>
      </c>
      <c r="L167" s="17" t="n">
        <f aca="false">IF(H167&gt;=Summary!$L$6,20,ROUND(H167/Summary!$L$6*10,1)*2)</f>
        <v>20</v>
      </c>
      <c r="M167" s="37" t="n">
        <f aca="false">20-L167</f>
        <v>0</v>
      </c>
      <c r="N167" s="12" t="str">
        <f aca="false">IF(H167&gt;=Summary!$L$6,"75%+ (all benefits)",IF(H167&gt;=Summary!$L$7,"55-74%",IF(H167&gt;=Summary!$L$8,"30-54%","Below 30%")))</f>
        <v>75%+ (all benefits)</v>
      </c>
      <c r="O167" s="13" t="n">
        <f aca="false">(E167+Summary!$L$13)/(G167+Summary!$L$13)</f>
        <v>0.822784810126582</v>
      </c>
      <c r="P167" s="17" t="n">
        <f aca="false">IF(O167&gt;=Summary!$L$6,20,ROUND(O167/Summary!$L$6*10,1)*2)</f>
        <v>20</v>
      </c>
      <c r="Q167" s="38" t="n">
        <f aca="false">P167-L167</f>
        <v>0</v>
      </c>
      <c r="R167" s="12" t="str">
        <f aca="false">IF(O167&gt;=Summary!$L$6,"75%+ (all benefits)",IF(O167&gt;=Summary!$L$7,"55-74%",IF(O167&gt;=Summary!$L$8,"30-54%","Below 30%")))</f>
        <v>75%+ (all benefits)</v>
      </c>
      <c r="S167" s="39" t="n">
        <f aca="false">MAX(0,ROUNDUP(Summary!$L$6*(G167+Summary!$L$13)-E167,0))</f>
        <v>79</v>
      </c>
      <c r="T167" s="39" t="n">
        <f aca="false">MAX(0,ROUNDUP(Summary!$L$7*(G167+Summary!$L$13)-E167,0))</f>
        <v>0</v>
      </c>
      <c r="U167" s="39" t="n">
        <f aca="false">MAX(0,ROUNDUP(Summary!$L$8*(G167+Summary!$L$13)-E167,0))</f>
        <v>0</v>
      </c>
    </row>
    <row r="168" customFormat="false" ht="15" hidden="false" customHeight="false" outlineLevel="0" collapsed="false">
      <c r="A168" s="12" t="n">
        <v>163</v>
      </c>
      <c r="B168" s="12" t="s">
        <v>27</v>
      </c>
      <c r="C168" s="12" t="s">
        <v>90</v>
      </c>
      <c r="D168" s="32" t="s">
        <v>91</v>
      </c>
      <c r="E168" s="12" t="n">
        <v>57</v>
      </c>
      <c r="F168" s="12" t="n">
        <v>304</v>
      </c>
      <c r="G168" s="12" t="n">
        <v>361</v>
      </c>
      <c r="H168" s="36" t="n">
        <f aca="false">ROUND(E168/G168*100,0)/100</f>
        <v>0.16</v>
      </c>
      <c r="I168" s="12" t="str">
        <f aca="false">IF(H168&gt;=Summary!$L$6,"Eligible","Shortage")</f>
        <v>Shortage</v>
      </c>
      <c r="J168" s="12" t="str">
        <f aca="false">IF(H168&lt;Summary!$L$8,"YES","No")</f>
        <v>YES</v>
      </c>
      <c r="K168" s="12" t="str">
        <f aca="false">IF(H168&gt;=Summary!$L$7,"Counted","Not Counted")</f>
        <v>Not Counted</v>
      </c>
      <c r="L168" s="17" t="n">
        <f aca="false">IF(H168&gt;=Summary!$L$6,20,ROUND(H168/Summary!$L$6*10,1)*2)</f>
        <v>4.2</v>
      </c>
      <c r="M168" s="37" t="n">
        <f aca="false">20-L168</f>
        <v>15.8</v>
      </c>
      <c r="N168" s="12" t="str">
        <f aca="false">IF(H168&gt;=Summary!$L$6,"75%+ (all benefits)",IF(H168&gt;=Summary!$L$7,"55-74%",IF(H168&gt;=Summary!$L$8,"30-54%","Below 30%")))</f>
        <v>Below 30%</v>
      </c>
      <c r="O168" s="13" t="n">
        <f aca="false">(E168+Summary!$L$13)/(G168+Summary!$L$13)</f>
        <v>0.358649789029536</v>
      </c>
      <c r="P168" s="17" t="n">
        <f aca="false">IF(O168&gt;=Summary!$L$6,20,ROUND(O168/Summary!$L$6*10,1)*2)</f>
        <v>9.6</v>
      </c>
      <c r="Q168" s="38" t="n">
        <f aca="false">P168-L168</f>
        <v>5.4</v>
      </c>
      <c r="R168" s="12" t="str">
        <f aca="false">IF(O168&gt;=Summary!$L$6,"75%+ (all benefits)",IF(O168&gt;=Summary!$L$7,"55-74%",IF(O168&gt;=Summary!$L$8,"30-54%","Below 30%")))</f>
        <v>30-54%</v>
      </c>
      <c r="S168" s="39" t="n">
        <f aca="false">MAX(0,ROUNDUP(Summary!$L$6*(G168+Summary!$L$13)-E168,0))</f>
        <v>299</v>
      </c>
      <c r="T168" s="39" t="n">
        <f aca="false">MAX(0,ROUNDUP(Summary!$L$7*(G168+Summary!$L$13)-E168,0))</f>
        <v>204</v>
      </c>
      <c r="U168" s="39" t="n">
        <f aca="false">MAX(0,ROUNDUP(Summary!$L$8*(G168+Summary!$L$13)-E168,0))</f>
        <v>86</v>
      </c>
    </row>
    <row r="169" customFormat="false" ht="15" hidden="false" customHeight="false" outlineLevel="0" collapsed="false">
      <c r="A169" s="40" t="n">
        <v>164</v>
      </c>
      <c r="B169" s="40" t="s">
        <v>27</v>
      </c>
      <c r="C169" s="40" t="s">
        <v>415</v>
      </c>
      <c r="D169" s="41" t="s">
        <v>416</v>
      </c>
      <c r="E169" s="40" t="n">
        <v>184</v>
      </c>
      <c r="F169" s="40" t="n">
        <v>177</v>
      </c>
      <c r="G169" s="40" t="n">
        <v>361</v>
      </c>
      <c r="H169" s="36" t="n">
        <f aca="false">ROUND(E169/G169*100,0)/100</f>
        <v>0.51</v>
      </c>
      <c r="I169" s="12" t="str">
        <f aca="false">IF(H169&gt;=Summary!$L$6,"Eligible","Shortage")</f>
        <v>Shortage</v>
      </c>
      <c r="J169" s="12" t="str">
        <f aca="false">IF(H169&lt;Summary!$L$8,"YES","No")</f>
        <v>No</v>
      </c>
      <c r="K169" s="12" t="str">
        <f aca="false">IF(H169&gt;=Summary!$L$7,"Counted","Not Counted")</f>
        <v>Not Counted</v>
      </c>
      <c r="L169" s="17" t="n">
        <f aca="false">IF(H169&gt;=Summary!$L$6,20,ROUND(H169/Summary!$L$6*10,1)*2)</f>
        <v>13.6</v>
      </c>
      <c r="M169" s="37" t="n">
        <f aca="false">20-L169</f>
        <v>6.4</v>
      </c>
      <c r="N169" s="12" t="str">
        <f aca="false">IF(H169&gt;=Summary!$L$6,"75%+ (all benefits)",IF(H169&gt;=Summary!$L$7,"55-74%",IF(H169&gt;=Summary!$L$8,"30-54%","Below 30%")))</f>
        <v>30-54%</v>
      </c>
      <c r="O169" s="13" t="n">
        <f aca="false">(E169+Summary!$L$13)/(G169+Summary!$L$13)</f>
        <v>0.626582278481013</v>
      </c>
      <c r="P169" s="17" t="n">
        <f aca="false">IF(O169&gt;=Summary!$L$6,20,ROUND(O169/Summary!$L$6*10,1)*2)</f>
        <v>16.8</v>
      </c>
      <c r="Q169" s="38" t="n">
        <f aca="false">P169-L169</f>
        <v>3.2</v>
      </c>
      <c r="R169" s="12" t="str">
        <f aca="false">IF(O169&gt;=Summary!$L$6,"75%+ (all benefits)",IF(O169&gt;=Summary!$L$7,"55-74%",IF(O169&gt;=Summary!$L$8,"30-54%","Below 30%")))</f>
        <v>55-74%</v>
      </c>
      <c r="S169" s="39" t="n">
        <f aca="false">MAX(0,ROUNDUP(Summary!$L$6*(G169+Summary!$L$13)-E169,0))</f>
        <v>172</v>
      </c>
      <c r="T169" s="39" t="n">
        <f aca="false">MAX(0,ROUNDUP(Summary!$L$7*(G169+Summary!$L$13)-E169,0))</f>
        <v>77</v>
      </c>
      <c r="U169" s="39" t="n">
        <f aca="false">MAX(0,ROUNDUP(Summary!$L$8*(G169+Summary!$L$13)-E169,0))</f>
        <v>0</v>
      </c>
    </row>
    <row r="170" customFormat="false" ht="15" hidden="false" customHeight="false" outlineLevel="0" collapsed="false">
      <c r="A170" s="12" t="n">
        <v>165</v>
      </c>
      <c r="B170" s="12" t="s">
        <v>27</v>
      </c>
      <c r="C170" s="12" t="s">
        <v>92</v>
      </c>
      <c r="D170" s="32" t="s">
        <v>93</v>
      </c>
      <c r="E170" s="12" t="n">
        <v>89</v>
      </c>
      <c r="F170" s="12" t="n">
        <v>272</v>
      </c>
      <c r="G170" s="12" t="n">
        <v>361</v>
      </c>
      <c r="H170" s="36" t="n">
        <f aca="false">ROUND(E170/G170*100,0)/100</f>
        <v>0.25</v>
      </c>
      <c r="I170" s="12" t="str">
        <f aca="false">IF(H170&gt;=Summary!$L$6,"Eligible","Shortage")</f>
        <v>Shortage</v>
      </c>
      <c r="J170" s="12" t="str">
        <f aca="false">IF(H170&lt;Summary!$L$8,"YES","No")</f>
        <v>YES</v>
      </c>
      <c r="K170" s="12" t="str">
        <f aca="false">IF(H170&gt;=Summary!$L$7,"Counted","Not Counted")</f>
        <v>Not Counted</v>
      </c>
      <c r="L170" s="17" t="n">
        <f aca="false">IF(H170&gt;=Summary!$L$6,20,ROUND(H170/Summary!$L$6*10,1)*2)</f>
        <v>6.6</v>
      </c>
      <c r="M170" s="37" t="n">
        <f aca="false">20-L170</f>
        <v>13.4</v>
      </c>
      <c r="N170" s="12" t="str">
        <f aca="false">IF(H170&gt;=Summary!$L$6,"75%+ (all benefits)",IF(H170&gt;=Summary!$L$7,"55-74%",IF(H170&gt;=Summary!$L$8,"30-54%","Below 30%")))</f>
        <v>Below 30%</v>
      </c>
      <c r="O170" s="13" t="n">
        <f aca="false">(E170+Summary!$L$13)/(G170+Summary!$L$13)</f>
        <v>0.426160337552743</v>
      </c>
      <c r="P170" s="17" t="n">
        <f aca="false">IF(O170&gt;=Summary!$L$6,20,ROUND(O170/Summary!$L$6*10,1)*2)</f>
        <v>11.4</v>
      </c>
      <c r="Q170" s="38" t="n">
        <f aca="false">P170-L170</f>
        <v>4.8</v>
      </c>
      <c r="R170" s="12" t="str">
        <f aca="false">IF(O170&gt;=Summary!$L$6,"75%+ (all benefits)",IF(O170&gt;=Summary!$L$7,"55-74%",IF(O170&gt;=Summary!$L$8,"30-54%","Below 30%")))</f>
        <v>30-54%</v>
      </c>
      <c r="S170" s="39" t="n">
        <f aca="false">MAX(0,ROUNDUP(Summary!$L$6*(G170+Summary!$L$13)-E170,0))</f>
        <v>267</v>
      </c>
      <c r="T170" s="39" t="n">
        <f aca="false">MAX(0,ROUNDUP(Summary!$L$7*(G170+Summary!$L$13)-E170,0))</f>
        <v>172</v>
      </c>
      <c r="U170" s="39" t="n">
        <f aca="false">MAX(0,ROUNDUP(Summary!$L$8*(G170+Summary!$L$13)-E170,0))</f>
        <v>54</v>
      </c>
    </row>
    <row r="171" customFormat="false" ht="15" hidden="false" customHeight="false" outlineLevel="0" collapsed="false">
      <c r="A171" s="40" t="n">
        <v>166</v>
      </c>
      <c r="B171" s="40" t="s">
        <v>27</v>
      </c>
      <c r="C171" s="40" t="s">
        <v>84</v>
      </c>
      <c r="D171" s="41" t="s">
        <v>85</v>
      </c>
      <c r="E171" s="40" t="n">
        <v>30</v>
      </c>
      <c r="F171" s="40" t="n">
        <v>331</v>
      </c>
      <c r="G171" s="40" t="n">
        <v>361</v>
      </c>
      <c r="H171" s="36" t="n">
        <f aca="false">ROUND(E171/G171*100,0)/100</f>
        <v>0.08</v>
      </c>
      <c r="I171" s="12" t="str">
        <f aca="false">IF(H171&gt;=Summary!$L$6,"Eligible","Shortage")</f>
        <v>Shortage</v>
      </c>
      <c r="J171" s="12" t="str">
        <f aca="false">IF(H171&lt;Summary!$L$8,"YES","No")</f>
        <v>YES</v>
      </c>
      <c r="K171" s="12" t="str">
        <f aca="false">IF(H171&gt;=Summary!$L$7,"Counted","Not Counted")</f>
        <v>Not Counted</v>
      </c>
      <c r="L171" s="17" t="n">
        <f aca="false">IF(H171&gt;=Summary!$L$6,20,ROUND(H171/Summary!$L$6*10,1)*2)</f>
        <v>2.2</v>
      </c>
      <c r="M171" s="37" t="n">
        <f aca="false">20-L171</f>
        <v>17.8</v>
      </c>
      <c r="N171" s="12" t="str">
        <f aca="false">IF(H171&gt;=Summary!$L$6,"75%+ (all benefits)",IF(H171&gt;=Summary!$L$7,"55-74%",IF(H171&gt;=Summary!$L$8,"30-54%","Below 30%")))</f>
        <v>Below 30%</v>
      </c>
      <c r="O171" s="13" t="n">
        <f aca="false">(E171+Summary!$L$13)/(G171+Summary!$L$13)</f>
        <v>0.30168776371308</v>
      </c>
      <c r="P171" s="17" t="n">
        <f aca="false">IF(O171&gt;=Summary!$L$6,20,ROUND(O171/Summary!$L$6*10,1)*2)</f>
        <v>8</v>
      </c>
      <c r="Q171" s="38" t="n">
        <f aca="false">P171-L171</f>
        <v>5.8</v>
      </c>
      <c r="R171" s="12" t="str">
        <f aca="false">IF(O171&gt;=Summary!$L$6,"75%+ (all benefits)",IF(O171&gt;=Summary!$L$7,"55-74%",IF(O171&gt;=Summary!$L$8,"30-54%","Below 30%")))</f>
        <v>30-54%</v>
      </c>
      <c r="S171" s="39" t="n">
        <f aca="false">MAX(0,ROUNDUP(Summary!$L$6*(G171+Summary!$L$13)-E171,0))</f>
        <v>326</v>
      </c>
      <c r="T171" s="39" t="n">
        <f aca="false">MAX(0,ROUNDUP(Summary!$L$7*(G171+Summary!$L$13)-E171,0))</f>
        <v>231</v>
      </c>
      <c r="U171" s="39" t="n">
        <f aca="false">MAX(0,ROUNDUP(Summary!$L$8*(G171+Summary!$L$13)-E171,0))</f>
        <v>113</v>
      </c>
    </row>
    <row r="172" customFormat="false" ht="15" hidden="false" customHeight="false" outlineLevel="0" collapsed="false">
      <c r="A172" s="12" t="n">
        <v>167</v>
      </c>
      <c r="B172" s="12" t="s">
        <v>27</v>
      </c>
      <c r="C172" s="12" t="s">
        <v>417</v>
      </c>
      <c r="D172" s="32" t="s">
        <v>418</v>
      </c>
      <c r="E172" s="12" t="n">
        <v>246</v>
      </c>
      <c r="F172" s="12" t="n">
        <v>115</v>
      </c>
      <c r="G172" s="12" t="n">
        <v>361</v>
      </c>
      <c r="H172" s="36" t="n">
        <f aca="false">ROUND(E172/G172*100,0)/100</f>
        <v>0.68</v>
      </c>
      <c r="I172" s="12" t="str">
        <f aca="false">IF(H172&gt;=Summary!$L$6,"Eligible","Shortage")</f>
        <v>Shortage</v>
      </c>
      <c r="J172" s="12" t="str">
        <f aca="false">IF(H172&lt;Summary!$L$8,"YES","No")</f>
        <v>No</v>
      </c>
      <c r="K172" s="12" t="str">
        <f aca="false">IF(H172&gt;=Summary!$L$7,"Counted","Not Counted")</f>
        <v>Counted</v>
      </c>
      <c r="L172" s="17" t="n">
        <f aca="false">IF(H172&gt;=Summary!$L$6,20,ROUND(H172/Summary!$L$6*10,1)*2)</f>
        <v>18.2</v>
      </c>
      <c r="M172" s="37" t="n">
        <f aca="false">20-L172</f>
        <v>1.8</v>
      </c>
      <c r="N172" s="12" t="str">
        <f aca="false">IF(H172&gt;=Summary!$L$6,"75%+ (all benefits)",IF(H172&gt;=Summary!$L$7,"55-74%",IF(H172&gt;=Summary!$L$8,"30-54%","Below 30%")))</f>
        <v>55-74%</v>
      </c>
      <c r="O172" s="13" t="n">
        <f aca="false">(E172+Summary!$L$13)/(G172+Summary!$L$13)</f>
        <v>0.757383966244726</v>
      </c>
      <c r="P172" s="17" t="n">
        <f aca="false">IF(O172&gt;=Summary!$L$6,20,ROUND(O172/Summary!$L$6*10,1)*2)</f>
        <v>20</v>
      </c>
      <c r="Q172" s="38" t="n">
        <f aca="false">P172-L172</f>
        <v>1.8</v>
      </c>
      <c r="R172" s="12" t="str">
        <f aca="false">IF(O172&gt;=Summary!$L$6,"75%+ (all benefits)",IF(O172&gt;=Summary!$L$7,"55-74%",IF(O172&gt;=Summary!$L$8,"30-54%","Below 30%")))</f>
        <v>75%+ (all benefits)</v>
      </c>
      <c r="S172" s="39" t="n">
        <f aca="false">MAX(0,ROUNDUP(Summary!$L$6*(G172+Summary!$L$13)-E172,0))</f>
        <v>110</v>
      </c>
      <c r="T172" s="39" t="n">
        <f aca="false">MAX(0,ROUNDUP(Summary!$L$7*(G172+Summary!$L$13)-E172,0))</f>
        <v>15</v>
      </c>
      <c r="U172" s="39" t="n">
        <f aca="false">MAX(0,ROUNDUP(Summary!$L$8*(G172+Summary!$L$13)-E172,0))</f>
        <v>0</v>
      </c>
    </row>
    <row r="173" customFormat="false" ht="15" hidden="false" customHeight="false" outlineLevel="0" collapsed="false">
      <c r="A173" s="40" t="n">
        <v>168</v>
      </c>
      <c r="B173" s="40" t="s">
        <v>27</v>
      </c>
      <c r="C173" s="40" t="s">
        <v>77</v>
      </c>
      <c r="D173" s="41" t="s">
        <v>54</v>
      </c>
      <c r="E173" s="40" t="n">
        <v>5</v>
      </c>
      <c r="F173" s="40" t="n">
        <v>356</v>
      </c>
      <c r="G173" s="40" t="n">
        <v>361</v>
      </c>
      <c r="H173" s="36" t="n">
        <f aca="false">ROUND(E173/G173*100,0)/100</f>
        <v>0.01</v>
      </c>
      <c r="I173" s="12" t="str">
        <f aca="false">IF(H173&gt;=Summary!$L$6,"Eligible","Shortage")</f>
        <v>Shortage</v>
      </c>
      <c r="J173" s="12" t="str">
        <f aca="false">IF(H173&lt;Summary!$L$8,"YES","No")</f>
        <v>YES</v>
      </c>
      <c r="K173" s="12" t="str">
        <f aca="false">IF(H173&gt;=Summary!$L$7,"Counted","Not Counted")</f>
        <v>Not Counted</v>
      </c>
      <c r="L173" s="17" t="n">
        <f aca="false">IF(H173&gt;=Summary!$L$6,20,ROUND(H173/Summary!$L$6*10,1)*2)</f>
        <v>0.2</v>
      </c>
      <c r="M173" s="37" t="n">
        <f aca="false">20-L173</f>
        <v>19.8</v>
      </c>
      <c r="N173" s="12" t="str">
        <f aca="false">IF(H173&gt;=Summary!$L$6,"75%+ (all benefits)",IF(H173&gt;=Summary!$L$7,"55-74%",IF(H173&gt;=Summary!$L$8,"30-54%","Below 30%")))</f>
        <v>Below 30%</v>
      </c>
      <c r="O173" s="13" t="n">
        <f aca="false">(E173+Summary!$L$13)/(G173+Summary!$L$13)</f>
        <v>0.248945147679325</v>
      </c>
      <c r="P173" s="17" t="n">
        <f aca="false">IF(O173&gt;=Summary!$L$6,20,ROUND(O173/Summary!$L$6*10,1)*2)</f>
        <v>6.6</v>
      </c>
      <c r="Q173" s="38" t="n">
        <f aca="false">P173-L173</f>
        <v>6.4</v>
      </c>
      <c r="R173" s="12" t="str">
        <f aca="false">IF(O173&gt;=Summary!$L$6,"75%+ (all benefits)",IF(O173&gt;=Summary!$L$7,"55-74%",IF(O173&gt;=Summary!$L$8,"30-54%","Below 30%")))</f>
        <v>Below 30%</v>
      </c>
      <c r="S173" s="39" t="n">
        <f aca="false">MAX(0,ROUNDUP(Summary!$L$6*(G173+Summary!$L$13)-E173,0))</f>
        <v>351</v>
      </c>
      <c r="T173" s="39" t="n">
        <f aca="false">MAX(0,ROUNDUP(Summary!$L$7*(G173+Summary!$L$13)-E173,0))</f>
        <v>256</v>
      </c>
      <c r="U173" s="39" t="n">
        <f aca="false">MAX(0,ROUNDUP(Summary!$L$8*(G173+Summary!$L$13)-E173,0))</f>
        <v>138</v>
      </c>
    </row>
    <row r="174" customFormat="false" ht="15" hidden="false" customHeight="false" outlineLevel="0" collapsed="false">
      <c r="A174" s="12" t="n">
        <v>169</v>
      </c>
      <c r="B174" s="12" t="s">
        <v>27</v>
      </c>
      <c r="C174" s="12" t="s">
        <v>419</v>
      </c>
      <c r="D174" s="32" t="s">
        <v>420</v>
      </c>
      <c r="E174" s="12" t="n">
        <v>211</v>
      </c>
      <c r="F174" s="12" t="n">
        <v>150</v>
      </c>
      <c r="G174" s="12" t="n">
        <v>361</v>
      </c>
      <c r="H174" s="36" t="n">
        <f aca="false">ROUND(E174/G174*100,0)/100</f>
        <v>0.58</v>
      </c>
      <c r="I174" s="12" t="str">
        <f aca="false">IF(H174&gt;=Summary!$L$6,"Eligible","Shortage")</f>
        <v>Shortage</v>
      </c>
      <c r="J174" s="12" t="str">
        <f aca="false">IF(H174&lt;Summary!$L$8,"YES","No")</f>
        <v>No</v>
      </c>
      <c r="K174" s="12" t="str">
        <f aca="false">IF(H174&gt;=Summary!$L$7,"Counted","Not Counted")</f>
        <v>Counted</v>
      </c>
      <c r="L174" s="17" t="n">
        <f aca="false">IF(H174&gt;=Summary!$L$6,20,ROUND(H174/Summary!$L$6*10,1)*2)</f>
        <v>15.4</v>
      </c>
      <c r="M174" s="37" t="n">
        <f aca="false">20-L174</f>
        <v>4.6</v>
      </c>
      <c r="N174" s="12" t="str">
        <f aca="false">IF(H174&gt;=Summary!$L$6,"75%+ (all benefits)",IF(H174&gt;=Summary!$L$7,"55-74%",IF(H174&gt;=Summary!$L$8,"30-54%","Below 30%")))</f>
        <v>55-74%</v>
      </c>
      <c r="O174" s="13" t="n">
        <f aca="false">(E174+Summary!$L$13)/(G174+Summary!$L$13)</f>
        <v>0.683544303797468</v>
      </c>
      <c r="P174" s="17" t="n">
        <f aca="false">IF(O174&gt;=Summary!$L$6,20,ROUND(O174/Summary!$L$6*10,1)*2)</f>
        <v>18.2</v>
      </c>
      <c r="Q174" s="38" t="n">
        <f aca="false">P174-L174</f>
        <v>2.8</v>
      </c>
      <c r="R174" s="12" t="str">
        <f aca="false">IF(O174&gt;=Summary!$L$6,"75%+ (all benefits)",IF(O174&gt;=Summary!$L$7,"55-74%",IF(O174&gt;=Summary!$L$8,"30-54%","Below 30%")))</f>
        <v>55-74%</v>
      </c>
      <c r="S174" s="39" t="n">
        <f aca="false">MAX(0,ROUNDUP(Summary!$L$6*(G174+Summary!$L$13)-E174,0))</f>
        <v>145</v>
      </c>
      <c r="T174" s="39" t="n">
        <f aca="false">MAX(0,ROUNDUP(Summary!$L$7*(G174+Summary!$L$13)-E174,0))</f>
        <v>50</v>
      </c>
      <c r="U174" s="39" t="n">
        <f aca="false">MAX(0,ROUNDUP(Summary!$L$8*(G174+Summary!$L$13)-E174,0))</f>
        <v>0</v>
      </c>
    </row>
    <row r="175" customFormat="false" ht="15" hidden="false" customHeight="false" outlineLevel="0" collapsed="false">
      <c r="A175" s="40" t="n">
        <v>170</v>
      </c>
      <c r="B175" s="40" t="s">
        <v>27</v>
      </c>
      <c r="C175" s="40" t="s">
        <v>421</v>
      </c>
      <c r="D175" s="41" t="s">
        <v>422</v>
      </c>
      <c r="E175" s="40" t="n">
        <v>278</v>
      </c>
      <c r="F175" s="40" t="n">
        <v>83</v>
      </c>
      <c r="G175" s="40" t="n">
        <v>361</v>
      </c>
      <c r="H175" s="36" t="n">
        <f aca="false">ROUND(E175/G175*100,0)/100</f>
        <v>0.77</v>
      </c>
      <c r="I175" s="12" t="str">
        <f aca="false">IF(H175&gt;=Summary!$L$6,"Eligible","Shortage")</f>
        <v>Eligible</v>
      </c>
      <c r="J175" s="12" t="str">
        <f aca="false">IF(H175&lt;Summary!$L$8,"YES","No")</f>
        <v>No</v>
      </c>
      <c r="K175" s="12" t="str">
        <f aca="false">IF(H175&gt;=Summary!$L$7,"Counted","Not Counted")</f>
        <v>Counted</v>
      </c>
      <c r="L175" s="17" t="n">
        <f aca="false">IF(H175&gt;=Summary!$L$6,20,ROUND(H175/Summary!$L$6*10,1)*2)</f>
        <v>20</v>
      </c>
      <c r="M175" s="37" t="n">
        <f aca="false">20-L175</f>
        <v>0</v>
      </c>
      <c r="N175" s="12" t="str">
        <f aca="false">IF(H175&gt;=Summary!$L$6,"75%+ (all benefits)",IF(H175&gt;=Summary!$L$7,"55-74%",IF(H175&gt;=Summary!$L$8,"30-54%","Below 30%")))</f>
        <v>75%+ (all benefits)</v>
      </c>
      <c r="O175" s="13" t="n">
        <f aca="false">(E175+Summary!$L$13)/(G175+Summary!$L$13)</f>
        <v>0.824894514767933</v>
      </c>
      <c r="P175" s="17" t="n">
        <f aca="false">IF(O175&gt;=Summary!$L$6,20,ROUND(O175/Summary!$L$6*10,1)*2)</f>
        <v>20</v>
      </c>
      <c r="Q175" s="38" t="n">
        <f aca="false">P175-L175</f>
        <v>0</v>
      </c>
      <c r="R175" s="12" t="str">
        <f aca="false">IF(O175&gt;=Summary!$L$6,"75%+ (all benefits)",IF(O175&gt;=Summary!$L$7,"55-74%",IF(O175&gt;=Summary!$L$8,"30-54%","Below 30%")))</f>
        <v>75%+ (all benefits)</v>
      </c>
      <c r="S175" s="39" t="n">
        <f aca="false">MAX(0,ROUNDUP(Summary!$L$6*(G175+Summary!$L$13)-E175,0))</f>
        <v>78</v>
      </c>
      <c r="T175" s="39" t="n">
        <f aca="false">MAX(0,ROUNDUP(Summary!$L$7*(G175+Summary!$L$13)-E175,0))</f>
        <v>0</v>
      </c>
      <c r="U175" s="39" t="n">
        <f aca="false">MAX(0,ROUNDUP(Summary!$L$8*(G175+Summary!$L$13)-E175,0))</f>
        <v>0</v>
      </c>
    </row>
    <row r="176" customFormat="false" ht="15" hidden="false" customHeight="false" outlineLevel="0" collapsed="false">
      <c r="A176" s="12" t="n">
        <v>171</v>
      </c>
      <c r="B176" s="12" t="s">
        <v>27</v>
      </c>
      <c r="C176" s="12" t="s">
        <v>94</v>
      </c>
      <c r="D176" s="32" t="s">
        <v>95</v>
      </c>
      <c r="E176" s="12" t="n">
        <v>102</v>
      </c>
      <c r="F176" s="12" t="n">
        <v>259</v>
      </c>
      <c r="G176" s="12" t="n">
        <v>361</v>
      </c>
      <c r="H176" s="36" t="n">
        <f aca="false">ROUND(E176/G176*100,0)/100</f>
        <v>0.28</v>
      </c>
      <c r="I176" s="12" t="str">
        <f aca="false">IF(H176&gt;=Summary!$L$6,"Eligible","Shortage")</f>
        <v>Shortage</v>
      </c>
      <c r="J176" s="12" t="str">
        <f aca="false">IF(H176&lt;Summary!$L$8,"YES","No")</f>
        <v>YES</v>
      </c>
      <c r="K176" s="12" t="str">
        <f aca="false">IF(H176&gt;=Summary!$L$7,"Counted","Not Counted")</f>
        <v>Not Counted</v>
      </c>
      <c r="L176" s="17" t="n">
        <f aca="false">IF(H176&gt;=Summary!$L$6,20,ROUND(H176/Summary!$L$6*10,1)*2)</f>
        <v>7.4</v>
      </c>
      <c r="M176" s="37" t="n">
        <f aca="false">20-L176</f>
        <v>12.6</v>
      </c>
      <c r="N176" s="12" t="str">
        <f aca="false">IF(H176&gt;=Summary!$L$6,"75%+ (all benefits)",IF(H176&gt;=Summary!$L$7,"55-74%",IF(H176&gt;=Summary!$L$8,"30-54%","Below 30%")))</f>
        <v>Below 30%</v>
      </c>
      <c r="O176" s="13" t="n">
        <f aca="false">(E176+Summary!$L$13)/(G176+Summary!$L$13)</f>
        <v>0.453586497890295</v>
      </c>
      <c r="P176" s="17" t="n">
        <f aca="false">IF(O176&gt;=Summary!$L$6,20,ROUND(O176/Summary!$L$6*10,1)*2)</f>
        <v>12</v>
      </c>
      <c r="Q176" s="38" t="n">
        <f aca="false">P176-L176</f>
        <v>4.6</v>
      </c>
      <c r="R176" s="12" t="str">
        <f aca="false">IF(O176&gt;=Summary!$L$6,"75%+ (all benefits)",IF(O176&gt;=Summary!$L$7,"55-74%",IF(O176&gt;=Summary!$L$8,"30-54%","Below 30%")))</f>
        <v>30-54%</v>
      </c>
      <c r="S176" s="39" t="n">
        <f aca="false">MAX(0,ROUNDUP(Summary!$L$6*(G176+Summary!$L$13)-E176,0))</f>
        <v>254</v>
      </c>
      <c r="T176" s="39" t="n">
        <f aca="false">MAX(0,ROUNDUP(Summary!$L$7*(G176+Summary!$L$13)-E176,0))</f>
        <v>159</v>
      </c>
      <c r="U176" s="39" t="n">
        <f aca="false">MAX(0,ROUNDUP(Summary!$L$8*(G176+Summary!$L$13)-E176,0))</f>
        <v>41</v>
      </c>
    </row>
    <row r="177" customFormat="false" ht="15" hidden="false" customHeight="false" outlineLevel="0" collapsed="false">
      <c r="A177" s="40" t="n">
        <v>172</v>
      </c>
      <c r="B177" s="40" t="s">
        <v>27</v>
      </c>
      <c r="C177" s="40" t="s">
        <v>423</v>
      </c>
      <c r="D177" s="41" t="s">
        <v>424</v>
      </c>
      <c r="E177" s="40" t="n">
        <v>249</v>
      </c>
      <c r="F177" s="40" t="n">
        <v>112</v>
      </c>
      <c r="G177" s="40" t="n">
        <v>361</v>
      </c>
      <c r="H177" s="36" t="n">
        <f aca="false">ROUND(E177/G177*100,0)/100</f>
        <v>0.69</v>
      </c>
      <c r="I177" s="12" t="str">
        <f aca="false">IF(H177&gt;=Summary!$L$6,"Eligible","Shortage")</f>
        <v>Shortage</v>
      </c>
      <c r="J177" s="12" t="str">
        <f aca="false">IF(H177&lt;Summary!$L$8,"YES","No")</f>
        <v>No</v>
      </c>
      <c r="K177" s="12" t="str">
        <f aca="false">IF(H177&gt;=Summary!$L$7,"Counted","Not Counted")</f>
        <v>Counted</v>
      </c>
      <c r="L177" s="17" t="n">
        <f aca="false">IF(H177&gt;=Summary!$L$6,20,ROUND(H177/Summary!$L$6*10,1)*2)</f>
        <v>18.4</v>
      </c>
      <c r="M177" s="37" t="n">
        <f aca="false">20-L177</f>
        <v>1.6</v>
      </c>
      <c r="N177" s="12" t="str">
        <f aca="false">IF(H177&gt;=Summary!$L$6,"75%+ (all benefits)",IF(H177&gt;=Summary!$L$7,"55-74%",IF(H177&gt;=Summary!$L$8,"30-54%","Below 30%")))</f>
        <v>55-74%</v>
      </c>
      <c r="O177" s="13" t="n">
        <f aca="false">(E177+Summary!$L$13)/(G177+Summary!$L$13)</f>
        <v>0.763713080168776</v>
      </c>
      <c r="P177" s="17" t="n">
        <f aca="false">IF(O177&gt;=Summary!$L$6,20,ROUND(O177/Summary!$L$6*10,1)*2)</f>
        <v>20</v>
      </c>
      <c r="Q177" s="38" t="n">
        <f aca="false">P177-L177</f>
        <v>1.6</v>
      </c>
      <c r="R177" s="12" t="str">
        <f aca="false">IF(O177&gt;=Summary!$L$6,"75%+ (all benefits)",IF(O177&gt;=Summary!$L$7,"55-74%",IF(O177&gt;=Summary!$L$8,"30-54%","Below 30%")))</f>
        <v>75%+ (all benefits)</v>
      </c>
      <c r="S177" s="39" t="n">
        <f aca="false">MAX(0,ROUNDUP(Summary!$L$6*(G177+Summary!$L$13)-E177,0))</f>
        <v>107</v>
      </c>
      <c r="T177" s="39" t="n">
        <f aca="false">MAX(0,ROUNDUP(Summary!$L$7*(G177+Summary!$L$13)-E177,0))</f>
        <v>12</v>
      </c>
      <c r="U177" s="39" t="n">
        <f aca="false">MAX(0,ROUNDUP(Summary!$L$8*(G177+Summary!$L$13)-E177,0))</f>
        <v>0</v>
      </c>
    </row>
    <row r="178" customFormat="false" ht="15" hidden="false" customHeight="false" outlineLevel="0" collapsed="false">
      <c r="A178" s="12" t="n">
        <v>173</v>
      </c>
      <c r="B178" s="12" t="s">
        <v>27</v>
      </c>
      <c r="C178" s="12" t="s">
        <v>425</v>
      </c>
      <c r="D178" s="32" t="s">
        <v>426</v>
      </c>
      <c r="E178" s="12" t="n">
        <v>268</v>
      </c>
      <c r="F178" s="12" t="n">
        <v>93</v>
      </c>
      <c r="G178" s="12" t="n">
        <v>361</v>
      </c>
      <c r="H178" s="36" t="n">
        <f aca="false">ROUND(E178/G178*100,0)/100</f>
        <v>0.74</v>
      </c>
      <c r="I178" s="12" t="str">
        <f aca="false">IF(H178&gt;=Summary!$L$6,"Eligible","Shortage")</f>
        <v>Shortage</v>
      </c>
      <c r="J178" s="12" t="str">
        <f aca="false">IF(H178&lt;Summary!$L$8,"YES","No")</f>
        <v>No</v>
      </c>
      <c r="K178" s="12" t="str">
        <f aca="false">IF(H178&gt;=Summary!$L$7,"Counted","Not Counted")</f>
        <v>Counted</v>
      </c>
      <c r="L178" s="17" t="n">
        <f aca="false">IF(H178&gt;=Summary!$L$6,20,ROUND(H178/Summary!$L$6*10,1)*2)</f>
        <v>19.8</v>
      </c>
      <c r="M178" s="37" t="n">
        <f aca="false">20-L178</f>
        <v>0.199999999999999</v>
      </c>
      <c r="N178" s="12" t="str">
        <f aca="false">IF(H178&gt;=Summary!$L$6,"75%+ (all benefits)",IF(H178&gt;=Summary!$L$7,"55-74%",IF(H178&gt;=Summary!$L$8,"30-54%","Below 30%")))</f>
        <v>55-74%</v>
      </c>
      <c r="O178" s="13" t="n">
        <f aca="false">(E178+Summary!$L$13)/(G178+Summary!$L$13)</f>
        <v>0.80379746835443</v>
      </c>
      <c r="P178" s="17" t="n">
        <f aca="false">IF(O178&gt;=Summary!$L$6,20,ROUND(O178/Summary!$L$6*10,1)*2)</f>
        <v>20</v>
      </c>
      <c r="Q178" s="38" t="n">
        <f aca="false">P178-L178</f>
        <v>0.199999999999999</v>
      </c>
      <c r="R178" s="12" t="str">
        <f aca="false">IF(O178&gt;=Summary!$L$6,"75%+ (all benefits)",IF(O178&gt;=Summary!$L$7,"55-74%",IF(O178&gt;=Summary!$L$8,"30-54%","Below 30%")))</f>
        <v>75%+ (all benefits)</v>
      </c>
      <c r="S178" s="39" t="n">
        <f aca="false">MAX(0,ROUNDUP(Summary!$L$6*(G178+Summary!$L$13)-E178,0))</f>
        <v>88</v>
      </c>
      <c r="T178" s="39" t="n">
        <f aca="false">MAX(0,ROUNDUP(Summary!$L$7*(G178+Summary!$L$13)-E178,0))</f>
        <v>0</v>
      </c>
      <c r="U178" s="39" t="n">
        <f aca="false">MAX(0,ROUNDUP(Summary!$L$8*(G178+Summary!$L$13)-E178,0))</f>
        <v>0</v>
      </c>
    </row>
    <row r="179" customFormat="false" ht="15" hidden="false" customHeight="false" outlineLevel="0" collapsed="false">
      <c r="A179" s="40" t="n">
        <v>174</v>
      </c>
      <c r="B179" s="40" t="s">
        <v>27</v>
      </c>
      <c r="C179" s="40" t="s">
        <v>427</v>
      </c>
      <c r="D179" s="41" t="s">
        <v>428</v>
      </c>
      <c r="E179" s="40" t="n">
        <v>308</v>
      </c>
      <c r="F179" s="40" t="n">
        <v>53</v>
      </c>
      <c r="G179" s="40" t="n">
        <v>361</v>
      </c>
      <c r="H179" s="36" t="n">
        <f aca="false">ROUND(E179/G179*100,0)/100</f>
        <v>0.85</v>
      </c>
      <c r="I179" s="12" t="str">
        <f aca="false">IF(H179&gt;=Summary!$L$6,"Eligible","Shortage")</f>
        <v>Eligible</v>
      </c>
      <c r="J179" s="12" t="str">
        <f aca="false">IF(H179&lt;Summary!$L$8,"YES","No")</f>
        <v>No</v>
      </c>
      <c r="K179" s="12" t="str">
        <f aca="false">IF(H179&gt;=Summary!$L$7,"Counted","Not Counted")</f>
        <v>Counted</v>
      </c>
      <c r="L179" s="17" t="n">
        <f aca="false">IF(H179&gt;=Summary!$L$6,20,ROUND(H179/Summary!$L$6*10,1)*2)</f>
        <v>20</v>
      </c>
      <c r="M179" s="37" t="n">
        <f aca="false">20-L179</f>
        <v>0</v>
      </c>
      <c r="N179" s="12" t="str">
        <f aca="false">IF(H179&gt;=Summary!$L$6,"75%+ (all benefits)",IF(H179&gt;=Summary!$L$7,"55-74%",IF(H179&gt;=Summary!$L$8,"30-54%","Below 30%")))</f>
        <v>75%+ (all benefits)</v>
      </c>
      <c r="O179" s="13" t="n">
        <f aca="false">(E179+Summary!$L$13)/(G179+Summary!$L$13)</f>
        <v>0.888185654008439</v>
      </c>
      <c r="P179" s="17" t="n">
        <f aca="false">IF(O179&gt;=Summary!$L$6,20,ROUND(O179/Summary!$L$6*10,1)*2)</f>
        <v>20</v>
      </c>
      <c r="Q179" s="38" t="n">
        <f aca="false">P179-L179</f>
        <v>0</v>
      </c>
      <c r="R179" s="12" t="str">
        <f aca="false">IF(O179&gt;=Summary!$L$6,"75%+ (all benefits)",IF(O179&gt;=Summary!$L$7,"55-74%",IF(O179&gt;=Summary!$L$8,"30-54%","Below 30%")))</f>
        <v>75%+ (all benefits)</v>
      </c>
      <c r="S179" s="39" t="n">
        <f aca="false">MAX(0,ROUNDUP(Summary!$L$6*(G179+Summary!$L$13)-E179,0))</f>
        <v>48</v>
      </c>
      <c r="T179" s="39" t="n">
        <f aca="false">MAX(0,ROUNDUP(Summary!$L$7*(G179+Summary!$L$13)-E179,0))</f>
        <v>0</v>
      </c>
      <c r="U179" s="39" t="n">
        <f aca="false">MAX(0,ROUNDUP(Summary!$L$8*(G179+Summary!$L$13)-E179,0))</f>
        <v>0</v>
      </c>
    </row>
    <row r="180" customFormat="false" ht="15" hidden="false" customHeight="false" outlineLevel="0" collapsed="false">
      <c r="A180" s="12" t="n">
        <v>175</v>
      </c>
      <c r="B180" s="12" t="s">
        <v>27</v>
      </c>
      <c r="C180" s="12" t="s">
        <v>429</v>
      </c>
      <c r="D180" s="32" t="s">
        <v>430</v>
      </c>
      <c r="E180" s="12" t="n">
        <v>283</v>
      </c>
      <c r="F180" s="12" t="n">
        <v>78</v>
      </c>
      <c r="G180" s="12" t="n">
        <v>361</v>
      </c>
      <c r="H180" s="36" t="n">
        <f aca="false">ROUND(E180/G180*100,0)/100</f>
        <v>0.78</v>
      </c>
      <c r="I180" s="12" t="str">
        <f aca="false">IF(H180&gt;=Summary!$L$6,"Eligible","Shortage")</f>
        <v>Eligible</v>
      </c>
      <c r="J180" s="12" t="str">
        <f aca="false">IF(H180&lt;Summary!$L$8,"YES","No")</f>
        <v>No</v>
      </c>
      <c r="K180" s="12" t="str">
        <f aca="false">IF(H180&gt;=Summary!$L$7,"Counted","Not Counted")</f>
        <v>Counted</v>
      </c>
      <c r="L180" s="17" t="n">
        <f aca="false">IF(H180&gt;=Summary!$L$6,20,ROUND(H180/Summary!$L$6*10,1)*2)</f>
        <v>20</v>
      </c>
      <c r="M180" s="37" t="n">
        <f aca="false">20-L180</f>
        <v>0</v>
      </c>
      <c r="N180" s="12" t="str">
        <f aca="false">IF(H180&gt;=Summary!$L$6,"75%+ (all benefits)",IF(H180&gt;=Summary!$L$7,"55-74%",IF(H180&gt;=Summary!$L$8,"30-54%","Below 30%")))</f>
        <v>75%+ (all benefits)</v>
      </c>
      <c r="O180" s="13" t="n">
        <f aca="false">(E180+Summary!$L$13)/(G180+Summary!$L$13)</f>
        <v>0.835443037974684</v>
      </c>
      <c r="P180" s="17" t="n">
        <f aca="false">IF(O180&gt;=Summary!$L$6,20,ROUND(O180/Summary!$L$6*10,1)*2)</f>
        <v>20</v>
      </c>
      <c r="Q180" s="38" t="n">
        <f aca="false">P180-L180</f>
        <v>0</v>
      </c>
      <c r="R180" s="12" t="str">
        <f aca="false">IF(O180&gt;=Summary!$L$6,"75%+ (all benefits)",IF(O180&gt;=Summary!$L$7,"55-74%",IF(O180&gt;=Summary!$L$8,"30-54%","Below 30%")))</f>
        <v>75%+ (all benefits)</v>
      </c>
      <c r="S180" s="39" t="n">
        <f aca="false">MAX(0,ROUNDUP(Summary!$L$6*(G180+Summary!$L$13)-E180,0))</f>
        <v>73</v>
      </c>
      <c r="T180" s="39" t="n">
        <f aca="false">MAX(0,ROUNDUP(Summary!$L$7*(G180+Summary!$L$13)-E180,0))</f>
        <v>0</v>
      </c>
      <c r="U180" s="39" t="n">
        <f aca="false">MAX(0,ROUNDUP(Summary!$L$8*(G180+Summary!$L$13)-E180,0))</f>
        <v>0</v>
      </c>
    </row>
    <row r="181" customFormat="false" ht="15" hidden="false" customHeight="false" outlineLevel="0" collapsed="false">
      <c r="A181" s="40" t="n">
        <v>176</v>
      </c>
      <c r="B181" s="40" t="s">
        <v>27</v>
      </c>
      <c r="C181" s="40" t="s">
        <v>431</v>
      </c>
      <c r="D181" s="41" t="s">
        <v>432</v>
      </c>
      <c r="E181" s="40" t="n">
        <v>258</v>
      </c>
      <c r="F181" s="40" t="n">
        <v>103</v>
      </c>
      <c r="G181" s="40" t="n">
        <v>361</v>
      </c>
      <c r="H181" s="36" t="n">
        <f aca="false">ROUND(E181/G181*100,0)/100</f>
        <v>0.71</v>
      </c>
      <c r="I181" s="12" t="str">
        <f aca="false">IF(H181&gt;=Summary!$L$6,"Eligible","Shortage")</f>
        <v>Shortage</v>
      </c>
      <c r="J181" s="12" t="str">
        <f aca="false">IF(H181&lt;Summary!$L$8,"YES","No")</f>
        <v>No</v>
      </c>
      <c r="K181" s="12" t="str">
        <f aca="false">IF(H181&gt;=Summary!$L$7,"Counted","Not Counted")</f>
        <v>Counted</v>
      </c>
      <c r="L181" s="17" t="n">
        <f aca="false">IF(H181&gt;=Summary!$L$6,20,ROUND(H181/Summary!$L$6*10,1)*2)</f>
        <v>19</v>
      </c>
      <c r="M181" s="37" t="n">
        <f aca="false">20-L181</f>
        <v>1</v>
      </c>
      <c r="N181" s="12" t="str">
        <f aca="false">IF(H181&gt;=Summary!$L$6,"75%+ (all benefits)",IF(H181&gt;=Summary!$L$7,"55-74%",IF(H181&gt;=Summary!$L$8,"30-54%","Below 30%")))</f>
        <v>55-74%</v>
      </c>
      <c r="O181" s="13" t="n">
        <f aca="false">(E181+Summary!$L$13)/(G181+Summary!$L$13)</f>
        <v>0.782700421940928</v>
      </c>
      <c r="P181" s="17" t="n">
        <f aca="false">IF(O181&gt;=Summary!$L$6,20,ROUND(O181/Summary!$L$6*10,1)*2)</f>
        <v>20</v>
      </c>
      <c r="Q181" s="38" t="n">
        <f aca="false">P181-L181</f>
        <v>1</v>
      </c>
      <c r="R181" s="12" t="str">
        <f aca="false">IF(O181&gt;=Summary!$L$6,"75%+ (all benefits)",IF(O181&gt;=Summary!$L$7,"55-74%",IF(O181&gt;=Summary!$L$8,"30-54%","Below 30%")))</f>
        <v>75%+ (all benefits)</v>
      </c>
      <c r="S181" s="39" t="n">
        <f aca="false">MAX(0,ROUNDUP(Summary!$L$6*(G181+Summary!$L$13)-E181,0))</f>
        <v>98</v>
      </c>
      <c r="T181" s="39" t="n">
        <f aca="false">MAX(0,ROUNDUP(Summary!$L$7*(G181+Summary!$L$13)-E181,0))</f>
        <v>3</v>
      </c>
      <c r="U181" s="39" t="n">
        <f aca="false">MAX(0,ROUNDUP(Summary!$L$8*(G181+Summary!$L$13)-E181,0))</f>
        <v>0</v>
      </c>
    </row>
    <row r="182" customFormat="false" ht="15" hidden="false" customHeight="false" outlineLevel="0" collapsed="false">
      <c r="A182" s="12" t="n">
        <v>177</v>
      </c>
      <c r="B182" s="12" t="s">
        <v>27</v>
      </c>
      <c r="C182" s="12" t="s">
        <v>433</v>
      </c>
      <c r="D182" s="32" t="s">
        <v>434</v>
      </c>
      <c r="E182" s="12" t="n">
        <v>269</v>
      </c>
      <c r="F182" s="12" t="n">
        <v>92</v>
      </c>
      <c r="G182" s="12" t="n">
        <v>361</v>
      </c>
      <c r="H182" s="36" t="n">
        <f aca="false">ROUND(E182/G182*100,0)/100</f>
        <v>0.75</v>
      </c>
      <c r="I182" s="12" t="str">
        <f aca="false">IF(H182&gt;=Summary!$L$6,"Eligible","Shortage")</f>
        <v>Eligible</v>
      </c>
      <c r="J182" s="12" t="str">
        <f aca="false">IF(H182&lt;Summary!$L$8,"YES","No")</f>
        <v>No</v>
      </c>
      <c r="K182" s="12" t="str">
        <f aca="false">IF(H182&gt;=Summary!$L$7,"Counted","Not Counted")</f>
        <v>Counted</v>
      </c>
      <c r="L182" s="17" t="n">
        <f aca="false">IF(H182&gt;=Summary!$L$6,20,ROUND(H182/Summary!$L$6*10,1)*2)</f>
        <v>20</v>
      </c>
      <c r="M182" s="37" t="n">
        <f aca="false">20-L182</f>
        <v>0</v>
      </c>
      <c r="N182" s="12" t="str">
        <f aca="false">IF(H182&gt;=Summary!$L$6,"75%+ (all benefits)",IF(H182&gt;=Summary!$L$7,"55-74%",IF(H182&gt;=Summary!$L$8,"30-54%","Below 30%")))</f>
        <v>75%+ (all benefits)</v>
      </c>
      <c r="O182" s="13" t="n">
        <f aca="false">(E182+Summary!$L$13)/(G182+Summary!$L$13)</f>
        <v>0.805907172995781</v>
      </c>
      <c r="P182" s="17" t="n">
        <f aca="false">IF(O182&gt;=Summary!$L$6,20,ROUND(O182/Summary!$L$6*10,1)*2)</f>
        <v>20</v>
      </c>
      <c r="Q182" s="38" t="n">
        <f aca="false">P182-L182</f>
        <v>0</v>
      </c>
      <c r="R182" s="12" t="str">
        <f aca="false">IF(O182&gt;=Summary!$L$6,"75%+ (all benefits)",IF(O182&gt;=Summary!$L$7,"55-74%",IF(O182&gt;=Summary!$L$8,"30-54%","Below 30%")))</f>
        <v>75%+ (all benefits)</v>
      </c>
      <c r="S182" s="39" t="n">
        <f aca="false">MAX(0,ROUNDUP(Summary!$L$6*(G182+Summary!$L$13)-E182,0))</f>
        <v>87</v>
      </c>
      <c r="T182" s="39" t="n">
        <f aca="false">MAX(0,ROUNDUP(Summary!$L$7*(G182+Summary!$L$13)-E182,0))</f>
        <v>0</v>
      </c>
      <c r="U182" s="39" t="n">
        <f aca="false">MAX(0,ROUNDUP(Summary!$L$8*(G182+Summary!$L$13)-E182,0))</f>
        <v>0</v>
      </c>
    </row>
    <row r="183" customFormat="false" ht="15" hidden="false" customHeight="false" outlineLevel="0" collapsed="false">
      <c r="A183" s="40" t="n">
        <v>178</v>
      </c>
      <c r="B183" s="40" t="s">
        <v>27</v>
      </c>
      <c r="C183" s="40" t="s">
        <v>435</v>
      </c>
      <c r="D183" s="41" t="s">
        <v>436</v>
      </c>
      <c r="E183" s="40" t="n">
        <v>290</v>
      </c>
      <c r="F183" s="40" t="n">
        <v>71</v>
      </c>
      <c r="G183" s="40" t="n">
        <v>361</v>
      </c>
      <c r="H183" s="36" t="n">
        <f aca="false">ROUND(E183/G183*100,0)/100</f>
        <v>0.8</v>
      </c>
      <c r="I183" s="12" t="str">
        <f aca="false">IF(H183&gt;=Summary!$L$6,"Eligible","Shortage")</f>
        <v>Eligible</v>
      </c>
      <c r="J183" s="12" t="str">
        <f aca="false">IF(H183&lt;Summary!$L$8,"YES","No")</f>
        <v>No</v>
      </c>
      <c r="K183" s="12" t="str">
        <f aca="false">IF(H183&gt;=Summary!$L$7,"Counted","Not Counted")</f>
        <v>Counted</v>
      </c>
      <c r="L183" s="17" t="n">
        <f aca="false">IF(H183&gt;=Summary!$L$6,20,ROUND(H183/Summary!$L$6*10,1)*2)</f>
        <v>20</v>
      </c>
      <c r="M183" s="37" t="n">
        <f aca="false">20-L183</f>
        <v>0</v>
      </c>
      <c r="N183" s="12" t="str">
        <f aca="false">IF(H183&gt;=Summary!$L$6,"75%+ (all benefits)",IF(H183&gt;=Summary!$L$7,"55-74%",IF(H183&gt;=Summary!$L$8,"30-54%","Below 30%")))</f>
        <v>75%+ (all benefits)</v>
      </c>
      <c r="O183" s="13" t="n">
        <f aca="false">(E183+Summary!$L$13)/(G183+Summary!$L$13)</f>
        <v>0.850210970464135</v>
      </c>
      <c r="P183" s="17" t="n">
        <f aca="false">IF(O183&gt;=Summary!$L$6,20,ROUND(O183/Summary!$L$6*10,1)*2)</f>
        <v>20</v>
      </c>
      <c r="Q183" s="38" t="n">
        <f aca="false">P183-L183</f>
        <v>0</v>
      </c>
      <c r="R183" s="12" t="str">
        <f aca="false">IF(O183&gt;=Summary!$L$6,"75%+ (all benefits)",IF(O183&gt;=Summary!$L$7,"55-74%",IF(O183&gt;=Summary!$L$8,"30-54%","Below 30%")))</f>
        <v>75%+ (all benefits)</v>
      </c>
      <c r="S183" s="39" t="n">
        <f aca="false">MAX(0,ROUNDUP(Summary!$L$6*(G183+Summary!$L$13)-E183,0))</f>
        <v>66</v>
      </c>
      <c r="T183" s="39" t="n">
        <f aca="false">MAX(0,ROUNDUP(Summary!$L$7*(G183+Summary!$L$13)-E183,0))</f>
        <v>0</v>
      </c>
      <c r="U183" s="39" t="n">
        <f aca="false">MAX(0,ROUNDUP(Summary!$L$8*(G183+Summary!$L$13)-E183,0))</f>
        <v>0</v>
      </c>
    </row>
    <row r="184" customFormat="false" ht="15" hidden="false" customHeight="false" outlineLevel="0" collapsed="false">
      <c r="A184" s="12" t="n">
        <v>179</v>
      </c>
      <c r="B184" s="12" t="s">
        <v>27</v>
      </c>
      <c r="C184" s="12" t="s">
        <v>437</v>
      </c>
      <c r="D184" s="32" t="s">
        <v>438</v>
      </c>
      <c r="E184" s="12" t="n">
        <v>277</v>
      </c>
      <c r="F184" s="12" t="n">
        <v>84</v>
      </c>
      <c r="G184" s="12" t="n">
        <v>361</v>
      </c>
      <c r="H184" s="36" t="n">
        <f aca="false">ROUND(E184/G184*100,0)/100</f>
        <v>0.77</v>
      </c>
      <c r="I184" s="12" t="str">
        <f aca="false">IF(H184&gt;=Summary!$L$6,"Eligible","Shortage")</f>
        <v>Eligible</v>
      </c>
      <c r="J184" s="12" t="str">
        <f aca="false">IF(H184&lt;Summary!$L$8,"YES","No")</f>
        <v>No</v>
      </c>
      <c r="K184" s="12" t="str">
        <f aca="false">IF(H184&gt;=Summary!$L$7,"Counted","Not Counted")</f>
        <v>Counted</v>
      </c>
      <c r="L184" s="17" t="n">
        <f aca="false">IF(H184&gt;=Summary!$L$6,20,ROUND(H184/Summary!$L$6*10,1)*2)</f>
        <v>20</v>
      </c>
      <c r="M184" s="37" t="n">
        <f aca="false">20-L184</f>
        <v>0</v>
      </c>
      <c r="N184" s="12" t="str">
        <f aca="false">IF(H184&gt;=Summary!$L$6,"75%+ (all benefits)",IF(H184&gt;=Summary!$L$7,"55-74%",IF(H184&gt;=Summary!$L$8,"30-54%","Below 30%")))</f>
        <v>75%+ (all benefits)</v>
      </c>
      <c r="O184" s="13" t="n">
        <f aca="false">(E184+Summary!$L$13)/(G184+Summary!$L$13)</f>
        <v>0.822784810126582</v>
      </c>
      <c r="P184" s="17" t="n">
        <f aca="false">IF(O184&gt;=Summary!$L$6,20,ROUND(O184/Summary!$L$6*10,1)*2)</f>
        <v>20</v>
      </c>
      <c r="Q184" s="38" t="n">
        <f aca="false">P184-L184</f>
        <v>0</v>
      </c>
      <c r="R184" s="12" t="str">
        <f aca="false">IF(O184&gt;=Summary!$L$6,"75%+ (all benefits)",IF(O184&gt;=Summary!$L$7,"55-74%",IF(O184&gt;=Summary!$L$8,"30-54%","Below 30%")))</f>
        <v>75%+ (all benefits)</v>
      </c>
      <c r="S184" s="39" t="n">
        <f aca="false">MAX(0,ROUNDUP(Summary!$L$6*(G184+Summary!$L$13)-E184,0))</f>
        <v>79</v>
      </c>
      <c r="T184" s="39" t="n">
        <f aca="false">MAX(0,ROUNDUP(Summary!$L$7*(G184+Summary!$L$13)-E184,0))</f>
        <v>0</v>
      </c>
      <c r="U184" s="39" t="n">
        <f aca="false">MAX(0,ROUNDUP(Summary!$L$8*(G184+Summary!$L$13)-E184,0))</f>
        <v>0</v>
      </c>
    </row>
    <row r="185" customFormat="false" ht="15" hidden="false" customHeight="false" outlineLevel="0" collapsed="false">
      <c r="A185" s="40" t="n">
        <v>180</v>
      </c>
      <c r="B185" s="40" t="s">
        <v>27</v>
      </c>
      <c r="C185" s="40" t="s">
        <v>439</v>
      </c>
      <c r="D185" s="41" t="s">
        <v>440</v>
      </c>
      <c r="E185" s="40" t="n">
        <v>252</v>
      </c>
      <c r="F185" s="40" t="n">
        <v>109</v>
      </c>
      <c r="G185" s="40" t="n">
        <v>361</v>
      </c>
      <c r="H185" s="36" t="n">
        <f aca="false">ROUND(E185/G185*100,0)/100</f>
        <v>0.7</v>
      </c>
      <c r="I185" s="12" t="str">
        <f aca="false">IF(H185&gt;=Summary!$L$6,"Eligible","Shortage")</f>
        <v>Shortage</v>
      </c>
      <c r="J185" s="12" t="str">
        <f aca="false">IF(H185&lt;Summary!$L$8,"YES","No")</f>
        <v>No</v>
      </c>
      <c r="K185" s="12" t="str">
        <f aca="false">IF(H185&gt;=Summary!$L$7,"Counted","Not Counted")</f>
        <v>Counted</v>
      </c>
      <c r="L185" s="17" t="n">
        <f aca="false">IF(H185&gt;=Summary!$L$6,20,ROUND(H185/Summary!$L$6*10,1)*2)</f>
        <v>18.6</v>
      </c>
      <c r="M185" s="37" t="n">
        <f aca="false">20-L185</f>
        <v>1.4</v>
      </c>
      <c r="N185" s="12" t="str">
        <f aca="false">IF(H185&gt;=Summary!$L$6,"75%+ (all benefits)",IF(H185&gt;=Summary!$L$7,"55-74%",IF(H185&gt;=Summary!$L$8,"30-54%","Below 30%")))</f>
        <v>55-74%</v>
      </c>
      <c r="O185" s="13" t="n">
        <f aca="false">(E185+Summary!$L$13)/(G185+Summary!$L$13)</f>
        <v>0.770042194092827</v>
      </c>
      <c r="P185" s="17" t="n">
        <f aca="false">IF(O185&gt;=Summary!$L$6,20,ROUND(O185/Summary!$L$6*10,1)*2)</f>
        <v>20</v>
      </c>
      <c r="Q185" s="38" t="n">
        <f aca="false">P185-L185</f>
        <v>1.4</v>
      </c>
      <c r="R185" s="12" t="str">
        <f aca="false">IF(O185&gt;=Summary!$L$6,"75%+ (all benefits)",IF(O185&gt;=Summary!$L$7,"55-74%",IF(O185&gt;=Summary!$L$8,"30-54%","Below 30%")))</f>
        <v>75%+ (all benefits)</v>
      </c>
      <c r="S185" s="39" t="n">
        <f aca="false">MAX(0,ROUNDUP(Summary!$L$6*(G185+Summary!$L$13)-E185,0))</f>
        <v>104</v>
      </c>
      <c r="T185" s="39" t="n">
        <f aca="false">MAX(0,ROUNDUP(Summary!$L$7*(G185+Summary!$L$13)-E185,0))</f>
        <v>9</v>
      </c>
      <c r="U185" s="39" t="n">
        <f aca="false">MAX(0,ROUNDUP(Summary!$L$8*(G185+Summary!$L$13)-E185,0))</f>
        <v>0</v>
      </c>
    </row>
    <row r="186" customFormat="false" ht="15" hidden="false" customHeight="false" outlineLevel="0" collapsed="false">
      <c r="A186" s="12" t="n">
        <v>181</v>
      </c>
      <c r="B186" s="12" t="s">
        <v>27</v>
      </c>
      <c r="C186" s="12" t="s">
        <v>441</v>
      </c>
      <c r="D186" s="32" t="s">
        <v>442</v>
      </c>
      <c r="E186" s="12" t="n">
        <v>301</v>
      </c>
      <c r="F186" s="12" t="n">
        <v>60</v>
      </c>
      <c r="G186" s="12" t="n">
        <v>361</v>
      </c>
      <c r="H186" s="36" t="n">
        <f aca="false">ROUND(E186/G186*100,0)/100</f>
        <v>0.83</v>
      </c>
      <c r="I186" s="12" t="str">
        <f aca="false">IF(H186&gt;=Summary!$L$6,"Eligible","Shortage")</f>
        <v>Eligible</v>
      </c>
      <c r="J186" s="12" t="str">
        <f aca="false">IF(H186&lt;Summary!$L$8,"YES","No")</f>
        <v>No</v>
      </c>
      <c r="K186" s="12" t="str">
        <f aca="false">IF(H186&gt;=Summary!$L$7,"Counted","Not Counted")</f>
        <v>Counted</v>
      </c>
      <c r="L186" s="17" t="n">
        <f aca="false">IF(H186&gt;=Summary!$L$6,20,ROUND(H186/Summary!$L$6*10,1)*2)</f>
        <v>20</v>
      </c>
      <c r="M186" s="37" t="n">
        <f aca="false">20-L186</f>
        <v>0</v>
      </c>
      <c r="N186" s="12" t="str">
        <f aca="false">IF(H186&gt;=Summary!$L$6,"75%+ (all benefits)",IF(H186&gt;=Summary!$L$7,"55-74%",IF(H186&gt;=Summary!$L$8,"30-54%","Below 30%")))</f>
        <v>75%+ (all benefits)</v>
      </c>
      <c r="O186" s="13" t="n">
        <f aca="false">(E186+Summary!$L$13)/(G186+Summary!$L$13)</f>
        <v>0.873417721518987</v>
      </c>
      <c r="P186" s="17" t="n">
        <f aca="false">IF(O186&gt;=Summary!$L$6,20,ROUND(O186/Summary!$L$6*10,1)*2)</f>
        <v>20</v>
      </c>
      <c r="Q186" s="38" t="n">
        <f aca="false">P186-L186</f>
        <v>0</v>
      </c>
      <c r="R186" s="12" t="str">
        <f aca="false">IF(O186&gt;=Summary!$L$6,"75%+ (all benefits)",IF(O186&gt;=Summary!$L$7,"55-74%",IF(O186&gt;=Summary!$L$8,"30-54%","Below 30%")))</f>
        <v>75%+ (all benefits)</v>
      </c>
      <c r="S186" s="39" t="n">
        <f aca="false">MAX(0,ROUNDUP(Summary!$L$6*(G186+Summary!$L$13)-E186,0))</f>
        <v>55</v>
      </c>
      <c r="T186" s="39" t="n">
        <f aca="false">MAX(0,ROUNDUP(Summary!$L$7*(G186+Summary!$L$13)-E186,0))</f>
        <v>0</v>
      </c>
      <c r="U186" s="39" t="n">
        <f aca="false">MAX(0,ROUNDUP(Summary!$L$8*(G186+Summary!$L$13)-E186,0))</f>
        <v>0</v>
      </c>
    </row>
    <row r="187" customFormat="false" ht="15" hidden="false" customHeight="false" outlineLevel="0" collapsed="false">
      <c r="A187" s="40" t="n">
        <v>182</v>
      </c>
      <c r="B187" s="40" t="s">
        <v>27</v>
      </c>
      <c r="C187" s="40" t="s">
        <v>73</v>
      </c>
      <c r="D187" s="41" t="s">
        <v>74</v>
      </c>
      <c r="E187" s="40" t="n">
        <v>4</v>
      </c>
      <c r="F187" s="40" t="n">
        <v>357</v>
      </c>
      <c r="G187" s="40" t="n">
        <v>361</v>
      </c>
      <c r="H187" s="36" t="n">
        <f aca="false">ROUND(E187/G187*100,0)/100</f>
        <v>0.01</v>
      </c>
      <c r="I187" s="12" t="str">
        <f aca="false">IF(H187&gt;=Summary!$L$6,"Eligible","Shortage")</f>
        <v>Shortage</v>
      </c>
      <c r="J187" s="12" t="str">
        <f aca="false">IF(H187&lt;Summary!$L$8,"YES","No")</f>
        <v>YES</v>
      </c>
      <c r="K187" s="12" t="str">
        <f aca="false">IF(H187&gt;=Summary!$L$7,"Counted","Not Counted")</f>
        <v>Not Counted</v>
      </c>
      <c r="L187" s="17" t="n">
        <f aca="false">IF(H187&gt;=Summary!$L$6,20,ROUND(H187/Summary!$L$6*10,1)*2)</f>
        <v>0.2</v>
      </c>
      <c r="M187" s="37" t="n">
        <f aca="false">20-L187</f>
        <v>19.8</v>
      </c>
      <c r="N187" s="12" t="str">
        <f aca="false">IF(H187&gt;=Summary!$L$6,"75%+ (all benefits)",IF(H187&gt;=Summary!$L$7,"55-74%",IF(H187&gt;=Summary!$L$8,"30-54%","Below 30%")))</f>
        <v>Below 30%</v>
      </c>
      <c r="O187" s="13" t="n">
        <f aca="false">(E187+Summary!$L$13)/(G187+Summary!$L$13)</f>
        <v>0.246835443037975</v>
      </c>
      <c r="P187" s="17" t="n">
        <f aca="false">IF(O187&gt;=Summary!$L$6,20,ROUND(O187/Summary!$L$6*10,1)*2)</f>
        <v>6.6</v>
      </c>
      <c r="Q187" s="38" t="n">
        <f aca="false">P187-L187</f>
        <v>6.4</v>
      </c>
      <c r="R187" s="12" t="str">
        <f aca="false">IF(O187&gt;=Summary!$L$6,"75%+ (all benefits)",IF(O187&gt;=Summary!$L$7,"55-74%",IF(O187&gt;=Summary!$L$8,"30-54%","Below 30%")))</f>
        <v>Below 30%</v>
      </c>
      <c r="S187" s="39" t="n">
        <f aca="false">MAX(0,ROUNDUP(Summary!$L$6*(G187+Summary!$L$13)-E187,0))</f>
        <v>352</v>
      </c>
      <c r="T187" s="39" t="n">
        <f aca="false">MAX(0,ROUNDUP(Summary!$L$7*(G187+Summary!$L$13)-E187,0))</f>
        <v>257</v>
      </c>
      <c r="U187" s="39" t="n">
        <f aca="false">MAX(0,ROUNDUP(Summary!$L$8*(G187+Summary!$L$13)-E187,0))</f>
        <v>139</v>
      </c>
    </row>
    <row r="188" customFormat="false" ht="15" hidden="false" customHeight="false" outlineLevel="0" collapsed="false">
      <c r="A188" s="12" t="n">
        <v>183</v>
      </c>
      <c r="B188" s="12" t="s">
        <v>27</v>
      </c>
      <c r="C188" s="12" t="s">
        <v>443</v>
      </c>
      <c r="D188" s="32" t="s">
        <v>444</v>
      </c>
      <c r="E188" s="12" t="n">
        <v>277</v>
      </c>
      <c r="F188" s="12" t="n">
        <v>84</v>
      </c>
      <c r="G188" s="12" t="n">
        <v>361</v>
      </c>
      <c r="H188" s="36" t="n">
        <f aca="false">ROUND(E188/G188*100,0)/100</f>
        <v>0.77</v>
      </c>
      <c r="I188" s="12" t="str">
        <f aca="false">IF(H188&gt;=Summary!$L$6,"Eligible","Shortage")</f>
        <v>Eligible</v>
      </c>
      <c r="J188" s="12" t="str">
        <f aca="false">IF(H188&lt;Summary!$L$8,"YES","No")</f>
        <v>No</v>
      </c>
      <c r="K188" s="12" t="str">
        <f aca="false">IF(H188&gt;=Summary!$L$7,"Counted","Not Counted")</f>
        <v>Counted</v>
      </c>
      <c r="L188" s="17" t="n">
        <f aca="false">IF(H188&gt;=Summary!$L$6,20,ROUND(H188/Summary!$L$6*10,1)*2)</f>
        <v>20</v>
      </c>
      <c r="M188" s="37" t="n">
        <f aca="false">20-L188</f>
        <v>0</v>
      </c>
      <c r="N188" s="12" t="str">
        <f aca="false">IF(H188&gt;=Summary!$L$6,"75%+ (all benefits)",IF(H188&gt;=Summary!$L$7,"55-74%",IF(H188&gt;=Summary!$L$8,"30-54%","Below 30%")))</f>
        <v>75%+ (all benefits)</v>
      </c>
      <c r="O188" s="13" t="n">
        <f aca="false">(E188+Summary!$L$13)/(G188+Summary!$L$13)</f>
        <v>0.822784810126582</v>
      </c>
      <c r="P188" s="17" t="n">
        <f aca="false">IF(O188&gt;=Summary!$L$6,20,ROUND(O188/Summary!$L$6*10,1)*2)</f>
        <v>20</v>
      </c>
      <c r="Q188" s="38" t="n">
        <f aca="false">P188-L188</f>
        <v>0</v>
      </c>
      <c r="R188" s="12" t="str">
        <f aca="false">IF(O188&gt;=Summary!$L$6,"75%+ (all benefits)",IF(O188&gt;=Summary!$L$7,"55-74%",IF(O188&gt;=Summary!$L$8,"30-54%","Below 30%")))</f>
        <v>75%+ (all benefits)</v>
      </c>
      <c r="S188" s="39" t="n">
        <f aca="false">MAX(0,ROUNDUP(Summary!$L$6*(G188+Summary!$L$13)-E188,0))</f>
        <v>79</v>
      </c>
      <c r="T188" s="39" t="n">
        <f aca="false">MAX(0,ROUNDUP(Summary!$L$7*(G188+Summary!$L$13)-E188,0))</f>
        <v>0</v>
      </c>
      <c r="U188" s="39" t="n">
        <f aca="false">MAX(0,ROUNDUP(Summary!$L$8*(G188+Summary!$L$13)-E188,0))</f>
        <v>0</v>
      </c>
    </row>
    <row r="189" customFormat="false" ht="15" hidden="false" customHeight="false" outlineLevel="0" collapsed="false">
      <c r="A189" s="40" t="n">
        <v>184</v>
      </c>
      <c r="B189" s="40" t="s">
        <v>27</v>
      </c>
      <c r="C189" s="40" t="s">
        <v>445</v>
      </c>
      <c r="D189" s="41" t="s">
        <v>446</v>
      </c>
      <c r="E189" s="40" t="n">
        <v>277</v>
      </c>
      <c r="F189" s="40" t="n">
        <v>84</v>
      </c>
      <c r="G189" s="40" t="n">
        <v>361</v>
      </c>
      <c r="H189" s="36" t="n">
        <f aca="false">ROUND(E189/G189*100,0)/100</f>
        <v>0.77</v>
      </c>
      <c r="I189" s="12" t="str">
        <f aca="false">IF(H189&gt;=Summary!$L$6,"Eligible","Shortage")</f>
        <v>Eligible</v>
      </c>
      <c r="J189" s="12" t="str">
        <f aca="false">IF(H189&lt;Summary!$L$8,"YES","No")</f>
        <v>No</v>
      </c>
      <c r="K189" s="12" t="str">
        <f aca="false">IF(H189&gt;=Summary!$L$7,"Counted","Not Counted")</f>
        <v>Counted</v>
      </c>
      <c r="L189" s="17" t="n">
        <f aca="false">IF(H189&gt;=Summary!$L$6,20,ROUND(H189/Summary!$L$6*10,1)*2)</f>
        <v>20</v>
      </c>
      <c r="M189" s="37" t="n">
        <f aca="false">20-L189</f>
        <v>0</v>
      </c>
      <c r="N189" s="12" t="str">
        <f aca="false">IF(H189&gt;=Summary!$L$6,"75%+ (all benefits)",IF(H189&gt;=Summary!$L$7,"55-74%",IF(H189&gt;=Summary!$L$8,"30-54%","Below 30%")))</f>
        <v>75%+ (all benefits)</v>
      </c>
      <c r="O189" s="13" t="n">
        <f aca="false">(E189+Summary!$L$13)/(G189+Summary!$L$13)</f>
        <v>0.822784810126582</v>
      </c>
      <c r="P189" s="17" t="n">
        <f aca="false">IF(O189&gt;=Summary!$L$6,20,ROUND(O189/Summary!$L$6*10,1)*2)</f>
        <v>20</v>
      </c>
      <c r="Q189" s="38" t="n">
        <f aca="false">P189-L189</f>
        <v>0</v>
      </c>
      <c r="R189" s="12" t="str">
        <f aca="false">IF(O189&gt;=Summary!$L$6,"75%+ (all benefits)",IF(O189&gt;=Summary!$L$7,"55-74%",IF(O189&gt;=Summary!$L$8,"30-54%","Below 30%")))</f>
        <v>75%+ (all benefits)</v>
      </c>
      <c r="S189" s="39" t="n">
        <f aca="false">MAX(0,ROUNDUP(Summary!$L$6*(G189+Summary!$L$13)-E189,0))</f>
        <v>79</v>
      </c>
      <c r="T189" s="39" t="n">
        <f aca="false">MAX(0,ROUNDUP(Summary!$L$7*(G189+Summary!$L$13)-E189,0))</f>
        <v>0</v>
      </c>
      <c r="U189" s="39" t="n">
        <f aca="false">MAX(0,ROUNDUP(Summary!$L$8*(G189+Summary!$L$13)-E189,0))</f>
        <v>0</v>
      </c>
    </row>
    <row r="190" customFormat="false" ht="15" hidden="false" customHeight="false" outlineLevel="0" collapsed="false">
      <c r="A190" s="12" t="n">
        <v>185</v>
      </c>
      <c r="B190" s="12" t="s">
        <v>27</v>
      </c>
      <c r="C190" s="12" t="s">
        <v>447</v>
      </c>
      <c r="D190" s="32" t="s">
        <v>448</v>
      </c>
      <c r="E190" s="12" t="n">
        <v>273</v>
      </c>
      <c r="F190" s="12" t="n">
        <v>88</v>
      </c>
      <c r="G190" s="12" t="n">
        <v>361</v>
      </c>
      <c r="H190" s="36" t="n">
        <f aca="false">ROUND(E190/G190*100,0)/100</f>
        <v>0.76</v>
      </c>
      <c r="I190" s="12" t="str">
        <f aca="false">IF(H190&gt;=Summary!$L$6,"Eligible","Shortage")</f>
        <v>Eligible</v>
      </c>
      <c r="J190" s="12" t="str">
        <f aca="false">IF(H190&lt;Summary!$L$8,"YES","No")</f>
        <v>No</v>
      </c>
      <c r="K190" s="12" t="str">
        <f aca="false">IF(H190&gt;=Summary!$L$7,"Counted","Not Counted")</f>
        <v>Counted</v>
      </c>
      <c r="L190" s="17" t="n">
        <f aca="false">IF(H190&gt;=Summary!$L$6,20,ROUND(H190/Summary!$L$6*10,1)*2)</f>
        <v>20</v>
      </c>
      <c r="M190" s="37" t="n">
        <f aca="false">20-L190</f>
        <v>0</v>
      </c>
      <c r="N190" s="12" t="str">
        <f aca="false">IF(H190&gt;=Summary!$L$6,"75%+ (all benefits)",IF(H190&gt;=Summary!$L$7,"55-74%",IF(H190&gt;=Summary!$L$8,"30-54%","Below 30%")))</f>
        <v>75%+ (all benefits)</v>
      </c>
      <c r="O190" s="13" t="n">
        <f aca="false">(E190+Summary!$L$13)/(G190+Summary!$L$13)</f>
        <v>0.814345991561182</v>
      </c>
      <c r="P190" s="17" t="n">
        <f aca="false">IF(O190&gt;=Summary!$L$6,20,ROUND(O190/Summary!$L$6*10,1)*2)</f>
        <v>20</v>
      </c>
      <c r="Q190" s="38" t="n">
        <f aca="false">P190-L190</f>
        <v>0</v>
      </c>
      <c r="R190" s="12" t="str">
        <f aca="false">IF(O190&gt;=Summary!$L$6,"75%+ (all benefits)",IF(O190&gt;=Summary!$L$7,"55-74%",IF(O190&gt;=Summary!$L$8,"30-54%","Below 30%")))</f>
        <v>75%+ (all benefits)</v>
      </c>
      <c r="S190" s="39" t="n">
        <f aca="false">MAX(0,ROUNDUP(Summary!$L$6*(G190+Summary!$L$13)-E190,0))</f>
        <v>83</v>
      </c>
      <c r="T190" s="39" t="n">
        <f aca="false">MAX(0,ROUNDUP(Summary!$L$7*(G190+Summary!$L$13)-E190,0))</f>
        <v>0</v>
      </c>
      <c r="U190" s="39" t="n">
        <f aca="false">MAX(0,ROUNDUP(Summary!$L$8*(G190+Summary!$L$13)-E190,0))</f>
        <v>0</v>
      </c>
    </row>
    <row r="191" customFormat="false" ht="15" hidden="false" customHeight="false" outlineLevel="0" collapsed="false">
      <c r="A191" s="40" t="n">
        <v>186</v>
      </c>
      <c r="B191" s="40" t="s">
        <v>28</v>
      </c>
      <c r="C191" s="40" t="s">
        <v>449</v>
      </c>
      <c r="D191" s="41" t="s">
        <v>450</v>
      </c>
      <c r="E191" s="40" t="n">
        <v>220</v>
      </c>
      <c r="F191" s="40" t="n">
        <v>141</v>
      </c>
      <c r="G191" s="40" t="n">
        <v>361</v>
      </c>
      <c r="H191" s="36" t="n">
        <f aca="false">ROUND(E191/G191*100,0)/100</f>
        <v>0.61</v>
      </c>
      <c r="I191" s="12" t="str">
        <f aca="false">IF(H191&gt;=Summary!$L$6,"Eligible","Shortage")</f>
        <v>Shortage</v>
      </c>
      <c r="J191" s="12" t="str">
        <f aca="false">IF(H191&lt;Summary!$L$8,"YES","No")</f>
        <v>No</v>
      </c>
      <c r="K191" s="12" t="str">
        <f aca="false">IF(H191&gt;=Summary!$L$7,"Counted","Not Counted")</f>
        <v>Counted</v>
      </c>
      <c r="L191" s="17" t="n">
        <f aca="false">IF(H191&gt;=Summary!$L$6,20,ROUND(H191/Summary!$L$6*10,1)*2)</f>
        <v>16.2</v>
      </c>
      <c r="M191" s="37" t="n">
        <f aca="false">20-L191</f>
        <v>3.8</v>
      </c>
      <c r="N191" s="12" t="str">
        <f aca="false">IF(H191&gt;=Summary!$L$6,"75%+ (all benefits)",IF(H191&gt;=Summary!$L$7,"55-74%",IF(H191&gt;=Summary!$L$8,"30-54%","Below 30%")))</f>
        <v>55-74%</v>
      </c>
      <c r="O191" s="13" t="n">
        <f aca="false">(E191+Summary!$L$13)/(G191+Summary!$L$13)</f>
        <v>0.70253164556962</v>
      </c>
      <c r="P191" s="17" t="n">
        <f aca="false">IF(O191&gt;=Summary!$L$6,20,ROUND(O191/Summary!$L$6*10,1)*2)</f>
        <v>18.8</v>
      </c>
      <c r="Q191" s="38" t="n">
        <f aca="false">P191-L191</f>
        <v>2.6</v>
      </c>
      <c r="R191" s="12" t="str">
        <f aca="false">IF(O191&gt;=Summary!$L$6,"75%+ (all benefits)",IF(O191&gt;=Summary!$L$7,"55-74%",IF(O191&gt;=Summary!$L$8,"30-54%","Below 30%")))</f>
        <v>55-74%</v>
      </c>
      <c r="S191" s="39" t="n">
        <f aca="false">MAX(0,ROUNDUP(Summary!$L$6*(G191+Summary!$L$13)-E191,0))</f>
        <v>136</v>
      </c>
      <c r="T191" s="39" t="n">
        <f aca="false">MAX(0,ROUNDUP(Summary!$L$7*(G191+Summary!$L$13)-E191,0))</f>
        <v>41</v>
      </c>
      <c r="U191" s="39" t="n">
        <f aca="false">MAX(0,ROUNDUP(Summary!$L$8*(G191+Summary!$L$13)-E191,0))</f>
        <v>0</v>
      </c>
    </row>
    <row r="192" customFormat="false" ht="15" hidden="false" customHeight="false" outlineLevel="0" collapsed="false">
      <c r="A192" s="12" t="n">
        <v>187</v>
      </c>
      <c r="B192" s="12" t="s">
        <v>28</v>
      </c>
      <c r="C192" s="12" t="s">
        <v>451</v>
      </c>
      <c r="D192" s="32" t="s">
        <v>452</v>
      </c>
      <c r="E192" s="12" t="n">
        <v>252</v>
      </c>
      <c r="F192" s="12" t="n">
        <v>109</v>
      </c>
      <c r="G192" s="12" t="n">
        <v>361</v>
      </c>
      <c r="H192" s="36" t="n">
        <f aca="false">ROUND(E192/G192*100,0)/100</f>
        <v>0.7</v>
      </c>
      <c r="I192" s="12" t="str">
        <f aca="false">IF(H192&gt;=Summary!$L$6,"Eligible","Shortage")</f>
        <v>Shortage</v>
      </c>
      <c r="J192" s="12" t="str">
        <f aca="false">IF(H192&lt;Summary!$L$8,"YES","No")</f>
        <v>No</v>
      </c>
      <c r="K192" s="12" t="str">
        <f aca="false">IF(H192&gt;=Summary!$L$7,"Counted","Not Counted")</f>
        <v>Counted</v>
      </c>
      <c r="L192" s="17" t="n">
        <f aca="false">IF(H192&gt;=Summary!$L$6,20,ROUND(H192/Summary!$L$6*10,1)*2)</f>
        <v>18.6</v>
      </c>
      <c r="M192" s="37" t="n">
        <f aca="false">20-L192</f>
        <v>1.4</v>
      </c>
      <c r="N192" s="12" t="str">
        <f aca="false">IF(H192&gt;=Summary!$L$6,"75%+ (all benefits)",IF(H192&gt;=Summary!$L$7,"55-74%",IF(H192&gt;=Summary!$L$8,"30-54%","Below 30%")))</f>
        <v>55-74%</v>
      </c>
      <c r="O192" s="13" t="n">
        <f aca="false">(E192+Summary!$L$13)/(G192+Summary!$L$13)</f>
        <v>0.770042194092827</v>
      </c>
      <c r="P192" s="17" t="n">
        <f aca="false">IF(O192&gt;=Summary!$L$6,20,ROUND(O192/Summary!$L$6*10,1)*2)</f>
        <v>20</v>
      </c>
      <c r="Q192" s="38" t="n">
        <f aca="false">P192-L192</f>
        <v>1.4</v>
      </c>
      <c r="R192" s="12" t="str">
        <f aca="false">IF(O192&gt;=Summary!$L$6,"75%+ (all benefits)",IF(O192&gt;=Summary!$L$7,"55-74%",IF(O192&gt;=Summary!$L$8,"30-54%","Below 30%")))</f>
        <v>75%+ (all benefits)</v>
      </c>
      <c r="S192" s="39" t="n">
        <f aca="false">MAX(0,ROUNDUP(Summary!$L$6*(G192+Summary!$L$13)-E192,0))</f>
        <v>104</v>
      </c>
      <c r="T192" s="39" t="n">
        <f aca="false">MAX(0,ROUNDUP(Summary!$L$7*(G192+Summary!$L$13)-E192,0))</f>
        <v>9</v>
      </c>
      <c r="U192" s="39" t="n">
        <f aca="false">MAX(0,ROUNDUP(Summary!$L$8*(G192+Summary!$L$13)-E192,0))</f>
        <v>0</v>
      </c>
    </row>
    <row r="193" customFormat="false" ht="15" hidden="false" customHeight="false" outlineLevel="0" collapsed="false">
      <c r="A193" s="40" t="n">
        <v>188</v>
      </c>
      <c r="B193" s="40" t="s">
        <v>28</v>
      </c>
      <c r="C193" s="40" t="s">
        <v>453</v>
      </c>
      <c r="D193" s="41" t="s">
        <v>454</v>
      </c>
      <c r="E193" s="40" t="n">
        <v>172</v>
      </c>
      <c r="F193" s="40" t="n">
        <v>189</v>
      </c>
      <c r="G193" s="40" t="n">
        <v>361</v>
      </c>
      <c r="H193" s="36" t="n">
        <f aca="false">ROUND(E193/G193*100,0)/100</f>
        <v>0.48</v>
      </c>
      <c r="I193" s="12" t="str">
        <f aca="false">IF(H193&gt;=Summary!$L$6,"Eligible","Shortage")</f>
        <v>Shortage</v>
      </c>
      <c r="J193" s="12" t="str">
        <f aca="false">IF(H193&lt;Summary!$L$8,"YES","No")</f>
        <v>No</v>
      </c>
      <c r="K193" s="12" t="str">
        <f aca="false">IF(H193&gt;=Summary!$L$7,"Counted","Not Counted")</f>
        <v>Not Counted</v>
      </c>
      <c r="L193" s="17" t="n">
        <f aca="false">IF(H193&gt;=Summary!$L$6,20,ROUND(H193/Summary!$L$6*10,1)*2)</f>
        <v>12.8</v>
      </c>
      <c r="M193" s="37" t="n">
        <f aca="false">20-L193</f>
        <v>7.2</v>
      </c>
      <c r="N193" s="12" t="str">
        <f aca="false">IF(H193&gt;=Summary!$L$6,"75%+ (all benefits)",IF(H193&gt;=Summary!$L$7,"55-74%",IF(H193&gt;=Summary!$L$8,"30-54%","Below 30%")))</f>
        <v>30-54%</v>
      </c>
      <c r="O193" s="13" t="n">
        <f aca="false">(E193+Summary!$L$13)/(G193+Summary!$L$13)</f>
        <v>0.60126582278481</v>
      </c>
      <c r="P193" s="17" t="n">
        <f aca="false">IF(O193&gt;=Summary!$L$6,20,ROUND(O193/Summary!$L$6*10,1)*2)</f>
        <v>16</v>
      </c>
      <c r="Q193" s="38" t="n">
        <f aca="false">P193-L193</f>
        <v>3.2</v>
      </c>
      <c r="R193" s="12" t="str">
        <f aca="false">IF(O193&gt;=Summary!$L$6,"75%+ (all benefits)",IF(O193&gt;=Summary!$L$7,"55-74%",IF(O193&gt;=Summary!$L$8,"30-54%","Below 30%")))</f>
        <v>55-74%</v>
      </c>
      <c r="S193" s="39" t="n">
        <f aca="false">MAX(0,ROUNDUP(Summary!$L$6*(G193+Summary!$L$13)-E193,0))</f>
        <v>184</v>
      </c>
      <c r="T193" s="39" t="n">
        <f aca="false">MAX(0,ROUNDUP(Summary!$L$7*(G193+Summary!$L$13)-E193,0))</f>
        <v>89</v>
      </c>
      <c r="U193" s="39" t="n">
        <f aca="false">MAX(0,ROUNDUP(Summary!$L$8*(G193+Summary!$L$13)-E193,0))</f>
        <v>0</v>
      </c>
    </row>
    <row r="194" customFormat="false" ht="15" hidden="false" customHeight="false" outlineLevel="0" collapsed="false">
      <c r="A194" s="12" t="n">
        <v>189</v>
      </c>
      <c r="B194" s="12" t="s">
        <v>28</v>
      </c>
      <c r="C194" s="12" t="s">
        <v>455</v>
      </c>
      <c r="D194" s="32" t="s">
        <v>456</v>
      </c>
      <c r="E194" s="12" t="n">
        <v>229</v>
      </c>
      <c r="F194" s="12" t="n">
        <v>132</v>
      </c>
      <c r="G194" s="12" t="n">
        <v>361</v>
      </c>
      <c r="H194" s="36" t="n">
        <f aca="false">ROUND(E194/G194*100,0)/100</f>
        <v>0.63</v>
      </c>
      <c r="I194" s="12" t="str">
        <f aca="false">IF(H194&gt;=Summary!$L$6,"Eligible","Shortage")</f>
        <v>Shortage</v>
      </c>
      <c r="J194" s="12" t="str">
        <f aca="false">IF(H194&lt;Summary!$L$8,"YES","No")</f>
        <v>No</v>
      </c>
      <c r="K194" s="12" t="str">
        <f aca="false">IF(H194&gt;=Summary!$L$7,"Counted","Not Counted")</f>
        <v>Counted</v>
      </c>
      <c r="L194" s="17" t="n">
        <f aca="false">IF(H194&gt;=Summary!$L$6,20,ROUND(H194/Summary!$L$6*10,1)*2)</f>
        <v>16.8</v>
      </c>
      <c r="M194" s="37" t="n">
        <f aca="false">20-L194</f>
        <v>3.2</v>
      </c>
      <c r="N194" s="12" t="str">
        <f aca="false">IF(H194&gt;=Summary!$L$6,"75%+ (all benefits)",IF(H194&gt;=Summary!$L$7,"55-74%",IF(H194&gt;=Summary!$L$8,"30-54%","Below 30%")))</f>
        <v>55-74%</v>
      </c>
      <c r="O194" s="13" t="n">
        <f aca="false">(E194+Summary!$L$13)/(G194+Summary!$L$13)</f>
        <v>0.721518987341772</v>
      </c>
      <c r="P194" s="17" t="n">
        <f aca="false">IF(O194&gt;=Summary!$L$6,20,ROUND(O194/Summary!$L$6*10,1)*2)</f>
        <v>19.2</v>
      </c>
      <c r="Q194" s="38" t="n">
        <f aca="false">P194-L194</f>
        <v>2.4</v>
      </c>
      <c r="R194" s="12" t="str">
        <f aca="false">IF(O194&gt;=Summary!$L$6,"75%+ (all benefits)",IF(O194&gt;=Summary!$L$7,"55-74%",IF(O194&gt;=Summary!$L$8,"30-54%","Below 30%")))</f>
        <v>55-74%</v>
      </c>
      <c r="S194" s="39" t="n">
        <f aca="false">MAX(0,ROUNDUP(Summary!$L$6*(G194+Summary!$L$13)-E194,0))</f>
        <v>127</v>
      </c>
      <c r="T194" s="39" t="n">
        <f aca="false">MAX(0,ROUNDUP(Summary!$L$7*(G194+Summary!$L$13)-E194,0))</f>
        <v>32</v>
      </c>
      <c r="U194" s="39" t="n">
        <f aca="false">MAX(0,ROUNDUP(Summary!$L$8*(G194+Summary!$L$13)-E194,0))</f>
        <v>0</v>
      </c>
    </row>
    <row r="195" customFormat="false" ht="15" hidden="false" customHeight="false" outlineLevel="0" collapsed="false">
      <c r="A195" s="40" t="n">
        <v>190</v>
      </c>
      <c r="B195" s="40" t="s">
        <v>28</v>
      </c>
      <c r="C195" s="40" t="s">
        <v>457</v>
      </c>
      <c r="D195" s="41" t="s">
        <v>458</v>
      </c>
      <c r="E195" s="40" t="n">
        <v>196</v>
      </c>
      <c r="F195" s="40" t="n">
        <v>165</v>
      </c>
      <c r="G195" s="40" t="n">
        <v>361</v>
      </c>
      <c r="H195" s="36" t="n">
        <f aca="false">ROUND(E195/G195*100,0)/100</f>
        <v>0.54</v>
      </c>
      <c r="I195" s="12" t="str">
        <f aca="false">IF(H195&gt;=Summary!$L$6,"Eligible","Shortage")</f>
        <v>Shortage</v>
      </c>
      <c r="J195" s="12" t="str">
        <f aca="false">IF(H195&lt;Summary!$L$8,"YES","No")</f>
        <v>No</v>
      </c>
      <c r="K195" s="12" t="str">
        <f aca="false">IF(H195&gt;=Summary!$L$7,"Counted","Not Counted")</f>
        <v>Not Counted</v>
      </c>
      <c r="L195" s="17" t="n">
        <f aca="false">IF(H195&gt;=Summary!$L$6,20,ROUND(H195/Summary!$L$6*10,1)*2)</f>
        <v>14.4</v>
      </c>
      <c r="M195" s="37" t="n">
        <f aca="false">20-L195</f>
        <v>5.6</v>
      </c>
      <c r="N195" s="12" t="str">
        <f aca="false">IF(H195&gt;=Summary!$L$6,"75%+ (all benefits)",IF(H195&gt;=Summary!$L$7,"55-74%",IF(H195&gt;=Summary!$L$8,"30-54%","Below 30%")))</f>
        <v>30-54%</v>
      </c>
      <c r="O195" s="13" t="n">
        <f aca="false">(E195+Summary!$L$13)/(G195+Summary!$L$13)</f>
        <v>0.651898734177215</v>
      </c>
      <c r="P195" s="17" t="n">
        <f aca="false">IF(O195&gt;=Summary!$L$6,20,ROUND(O195/Summary!$L$6*10,1)*2)</f>
        <v>17.4</v>
      </c>
      <c r="Q195" s="38" t="n">
        <f aca="false">P195-L195</f>
        <v>3</v>
      </c>
      <c r="R195" s="12" t="str">
        <f aca="false">IF(O195&gt;=Summary!$L$6,"75%+ (all benefits)",IF(O195&gt;=Summary!$L$7,"55-74%",IF(O195&gt;=Summary!$L$8,"30-54%","Below 30%")))</f>
        <v>55-74%</v>
      </c>
      <c r="S195" s="39" t="n">
        <f aca="false">MAX(0,ROUNDUP(Summary!$L$6*(G195+Summary!$L$13)-E195,0))</f>
        <v>160</v>
      </c>
      <c r="T195" s="39" t="n">
        <f aca="false">MAX(0,ROUNDUP(Summary!$L$7*(G195+Summary!$L$13)-E195,0))</f>
        <v>65</v>
      </c>
      <c r="U195" s="39" t="n">
        <f aca="false">MAX(0,ROUNDUP(Summary!$L$8*(G195+Summary!$L$13)-E195,0))</f>
        <v>0</v>
      </c>
    </row>
    <row r="196" customFormat="false" ht="15" hidden="false" customHeight="false" outlineLevel="0" collapsed="false">
      <c r="A196" s="12" t="n">
        <v>191</v>
      </c>
      <c r="B196" s="12" t="s">
        <v>28</v>
      </c>
      <c r="C196" s="12" t="s">
        <v>459</v>
      </c>
      <c r="D196" s="32" t="s">
        <v>460</v>
      </c>
      <c r="E196" s="12" t="n">
        <v>240</v>
      </c>
      <c r="F196" s="12" t="n">
        <v>121</v>
      </c>
      <c r="G196" s="12" t="n">
        <v>361</v>
      </c>
      <c r="H196" s="36" t="n">
        <f aca="false">ROUND(E196/G196*100,0)/100</f>
        <v>0.66</v>
      </c>
      <c r="I196" s="12" t="str">
        <f aca="false">IF(H196&gt;=Summary!$L$6,"Eligible","Shortage")</f>
        <v>Shortage</v>
      </c>
      <c r="J196" s="12" t="str">
        <f aca="false">IF(H196&lt;Summary!$L$8,"YES","No")</f>
        <v>No</v>
      </c>
      <c r="K196" s="12" t="str">
        <f aca="false">IF(H196&gt;=Summary!$L$7,"Counted","Not Counted")</f>
        <v>Counted</v>
      </c>
      <c r="L196" s="17" t="n">
        <f aca="false">IF(H196&gt;=Summary!$L$6,20,ROUND(H196/Summary!$L$6*10,1)*2)</f>
        <v>17.6</v>
      </c>
      <c r="M196" s="37" t="n">
        <f aca="false">20-L196</f>
        <v>2.4</v>
      </c>
      <c r="N196" s="12" t="str">
        <f aca="false">IF(H196&gt;=Summary!$L$6,"75%+ (all benefits)",IF(H196&gt;=Summary!$L$7,"55-74%",IF(H196&gt;=Summary!$L$8,"30-54%","Below 30%")))</f>
        <v>55-74%</v>
      </c>
      <c r="O196" s="13" t="n">
        <f aca="false">(E196+Summary!$L$13)/(G196+Summary!$L$13)</f>
        <v>0.744725738396625</v>
      </c>
      <c r="P196" s="17" t="n">
        <f aca="false">IF(O196&gt;=Summary!$L$6,20,ROUND(O196/Summary!$L$6*10,1)*2)</f>
        <v>19.8</v>
      </c>
      <c r="Q196" s="38" t="n">
        <f aca="false">P196-L196</f>
        <v>2.2</v>
      </c>
      <c r="R196" s="12" t="str">
        <f aca="false">IF(O196&gt;=Summary!$L$6,"75%+ (all benefits)",IF(O196&gt;=Summary!$L$7,"55-74%",IF(O196&gt;=Summary!$L$8,"30-54%","Below 30%")))</f>
        <v>55-74%</v>
      </c>
      <c r="S196" s="39" t="n">
        <f aca="false">MAX(0,ROUNDUP(Summary!$L$6*(G196+Summary!$L$13)-E196,0))</f>
        <v>116</v>
      </c>
      <c r="T196" s="39" t="n">
        <f aca="false">MAX(0,ROUNDUP(Summary!$L$7*(G196+Summary!$L$13)-E196,0))</f>
        <v>21</v>
      </c>
      <c r="U196" s="39" t="n">
        <f aca="false">MAX(0,ROUNDUP(Summary!$L$8*(G196+Summary!$L$13)-E196,0))</f>
        <v>0</v>
      </c>
    </row>
    <row r="197" customFormat="false" ht="15" hidden="false" customHeight="false" outlineLevel="0" collapsed="false">
      <c r="A197" s="40" t="n">
        <v>192</v>
      </c>
      <c r="B197" s="40" t="s">
        <v>28</v>
      </c>
      <c r="C197" s="40" t="s">
        <v>461</v>
      </c>
      <c r="D197" s="41" t="s">
        <v>462</v>
      </c>
      <c r="E197" s="40" t="n">
        <v>250</v>
      </c>
      <c r="F197" s="40" t="n">
        <v>111</v>
      </c>
      <c r="G197" s="40" t="n">
        <v>361</v>
      </c>
      <c r="H197" s="36" t="n">
        <f aca="false">ROUND(E197/G197*100,0)/100</f>
        <v>0.69</v>
      </c>
      <c r="I197" s="12" t="str">
        <f aca="false">IF(H197&gt;=Summary!$L$6,"Eligible","Shortage")</f>
        <v>Shortage</v>
      </c>
      <c r="J197" s="12" t="str">
        <f aca="false">IF(H197&lt;Summary!$L$8,"YES","No")</f>
        <v>No</v>
      </c>
      <c r="K197" s="12" t="str">
        <f aca="false">IF(H197&gt;=Summary!$L$7,"Counted","Not Counted")</f>
        <v>Counted</v>
      </c>
      <c r="L197" s="17" t="n">
        <f aca="false">IF(H197&gt;=Summary!$L$6,20,ROUND(H197/Summary!$L$6*10,1)*2)</f>
        <v>18.4</v>
      </c>
      <c r="M197" s="37" t="n">
        <f aca="false">20-L197</f>
        <v>1.6</v>
      </c>
      <c r="N197" s="12" t="str">
        <f aca="false">IF(H197&gt;=Summary!$L$6,"75%+ (all benefits)",IF(H197&gt;=Summary!$L$7,"55-74%",IF(H197&gt;=Summary!$L$8,"30-54%","Below 30%")))</f>
        <v>55-74%</v>
      </c>
      <c r="O197" s="13" t="n">
        <f aca="false">(E197+Summary!$L$13)/(G197+Summary!$L$13)</f>
        <v>0.765822784810127</v>
      </c>
      <c r="P197" s="17" t="n">
        <f aca="false">IF(O197&gt;=Summary!$L$6,20,ROUND(O197/Summary!$L$6*10,1)*2)</f>
        <v>20</v>
      </c>
      <c r="Q197" s="38" t="n">
        <f aca="false">P197-L197</f>
        <v>1.6</v>
      </c>
      <c r="R197" s="12" t="str">
        <f aca="false">IF(O197&gt;=Summary!$L$6,"75%+ (all benefits)",IF(O197&gt;=Summary!$L$7,"55-74%",IF(O197&gt;=Summary!$L$8,"30-54%","Below 30%")))</f>
        <v>75%+ (all benefits)</v>
      </c>
      <c r="S197" s="39" t="n">
        <f aca="false">MAX(0,ROUNDUP(Summary!$L$6*(G197+Summary!$L$13)-E197,0))</f>
        <v>106</v>
      </c>
      <c r="T197" s="39" t="n">
        <f aca="false">MAX(0,ROUNDUP(Summary!$L$7*(G197+Summary!$L$13)-E197,0))</f>
        <v>11</v>
      </c>
      <c r="U197" s="39" t="n">
        <f aca="false">MAX(0,ROUNDUP(Summary!$L$8*(G197+Summary!$L$13)-E197,0))</f>
        <v>0</v>
      </c>
    </row>
    <row r="198" customFormat="false" ht="15" hidden="false" customHeight="false" outlineLevel="0" collapsed="false">
      <c r="A198" s="12" t="n">
        <v>193</v>
      </c>
      <c r="B198" s="12" t="s">
        <v>28</v>
      </c>
      <c r="C198" s="12" t="s">
        <v>463</v>
      </c>
      <c r="D198" s="32" t="s">
        <v>464</v>
      </c>
      <c r="E198" s="12" t="n">
        <v>162</v>
      </c>
      <c r="F198" s="12" t="n">
        <v>199</v>
      </c>
      <c r="G198" s="12" t="n">
        <v>361</v>
      </c>
      <c r="H198" s="36" t="n">
        <f aca="false">ROUND(E198/G198*100,0)/100</f>
        <v>0.45</v>
      </c>
      <c r="I198" s="12" t="str">
        <f aca="false">IF(H198&gt;=Summary!$L$6,"Eligible","Shortage")</f>
        <v>Shortage</v>
      </c>
      <c r="J198" s="12" t="str">
        <f aca="false">IF(H198&lt;Summary!$L$8,"YES","No")</f>
        <v>No</v>
      </c>
      <c r="K198" s="12" t="str">
        <f aca="false">IF(H198&gt;=Summary!$L$7,"Counted","Not Counted")</f>
        <v>Not Counted</v>
      </c>
      <c r="L198" s="17" t="n">
        <f aca="false">IF(H198&gt;=Summary!$L$6,20,ROUND(H198/Summary!$L$6*10,1)*2)</f>
        <v>12</v>
      </c>
      <c r="M198" s="37" t="n">
        <f aca="false">20-L198</f>
        <v>8</v>
      </c>
      <c r="N198" s="12" t="str">
        <f aca="false">IF(H198&gt;=Summary!$L$6,"75%+ (all benefits)",IF(H198&gt;=Summary!$L$7,"55-74%",IF(H198&gt;=Summary!$L$8,"30-54%","Below 30%")))</f>
        <v>30-54%</v>
      </c>
      <c r="O198" s="13" t="n">
        <f aca="false">(E198+Summary!$L$13)/(G198+Summary!$L$13)</f>
        <v>0.580168776371308</v>
      </c>
      <c r="P198" s="17" t="n">
        <f aca="false">IF(O198&gt;=Summary!$L$6,20,ROUND(O198/Summary!$L$6*10,1)*2)</f>
        <v>15.4</v>
      </c>
      <c r="Q198" s="38" t="n">
        <f aca="false">P198-L198</f>
        <v>3.4</v>
      </c>
      <c r="R198" s="12" t="str">
        <f aca="false">IF(O198&gt;=Summary!$L$6,"75%+ (all benefits)",IF(O198&gt;=Summary!$L$7,"55-74%",IF(O198&gt;=Summary!$L$8,"30-54%","Below 30%")))</f>
        <v>55-74%</v>
      </c>
      <c r="S198" s="39" t="n">
        <f aca="false">MAX(0,ROUNDUP(Summary!$L$6*(G198+Summary!$L$13)-E198,0))</f>
        <v>194</v>
      </c>
      <c r="T198" s="39" t="n">
        <f aca="false">MAX(0,ROUNDUP(Summary!$L$7*(G198+Summary!$L$13)-E198,0))</f>
        <v>99</v>
      </c>
      <c r="U198" s="39" t="n">
        <f aca="false">MAX(0,ROUNDUP(Summary!$L$8*(G198+Summary!$L$13)-E198,0))</f>
        <v>0</v>
      </c>
    </row>
    <row r="199" customFormat="false" ht="15" hidden="false" customHeight="false" outlineLevel="0" collapsed="false">
      <c r="A199" s="40" t="n">
        <v>194</v>
      </c>
      <c r="B199" s="40" t="s">
        <v>28</v>
      </c>
      <c r="C199" s="40" t="s">
        <v>465</v>
      </c>
      <c r="D199" s="41" t="s">
        <v>466</v>
      </c>
      <c r="E199" s="40" t="n">
        <v>212</v>
      </c>
      <c r="F199" s="40" t="n">
        <v>149</v>
      </c>
      <c r="G199" s="40" t="n">
        <v>361</v>
      </c>
      <c r="H199" s="36" t="n">
        <f aca="false">ROUND(E199/G199*100,0)/100</f>
        <v>0.59</v>
      </c>
      <c r="I199" s="12" t="str">
        <f aca="false">IF(H199&gt;=Summary!$L$6,"Eligible","Shortage")</f>
        <v>Shortage</v>
      </c>
      <c r="J199" s="12" t="str">
        <f aca="false">IF(H199&lt;Summary!$L$8,"YES","No")</f>
        <v>No</v>
      </c>
      <c r="K199" s="12" t="str">
        <f aca="false">IF(H199&gt;=Summary!$L$7,"Counted","Not Counted")</f>
        <v>Counted</v>
      </c>
      <c r="L199" s="17" t="n">
        <f aca="false">IF(H199&gt;=Summary!$L$6,20,ROUND(H199/Summary!$L$6*10,1)*2)</f>
        <v>15.8</v>
      </c>
      <c r="M199" s="37" t="n">
        <f aca="false">20-L199</f>
        <v>4.2</v>
      </c>
      <c r="N199" s="12" t="str">
        <f aca="false">IF(H199&gt;=Summary!$L$6,"75%+ (all benefits)",IF(H199&gt;=Summary!$L$7,"55-74%",IF(H199&gt;=Summary!$L$8,"30-54%","Below 30%")))</f>
        <v>55-74%</v>
      </c>
      <c r="O199" s="13" t="n">
        <f aca="false">(E199+Summary!$L$13)/(G199+Summary!$L$13)</f>
        <v>0.685654008438819</v>
      </c>
      <c r="P199" s="17" t="n">
        <f aca="false">IF(O199&gt;=Summary!$L$6,20,ROUND(O199/Summary!$L$6*10,1)*2)</f>
        <v>18.2</v>
      </c>
      <c r="Q199" s="38" t="n">
        <f aca="false">P199-L199</f>
        <v>2.4</v>
      </c>
      <c r="R199" s="12" t="str">
        <f aca="false">IF(O199&gt;=Summary!$L$6,"75%+ (all benefits)",IF(O199&gt;=Summary!$L$7,"55-74%",IF(O199&gt;=Summary!$L$8,"30-54%","Below 30%")))</f>
        <v>55-74%</v>
      </c>
      <c r="S199" s="39" t="n">
        <f aca="false">MAX(0,ROUNDUP(Summary!$L$6*(G199+Summary!$L$13)-E199,0))</f>
        <v>144</v>
      </c>
      <c r="T199" s="39" t="n">
        <f aca="false">MAX(0,ROUNDUP(Summary!$L$7*(G199+Summary!$L$13)-E199,0))</f>
        <v>49</v>
      </c>
      <c r="U199" s="39" t="n">
        <f aca="false">MAX(0,ROUNDUP(Summary!$L$8*(G199+Summary!$L$13)-E199,0))</f>
        <v>0</v>
      </c>
    </row>
    <row r="200" customFormat="false" ht="15" hidden="false" customHeight="false" outlineLevel="0" collapsed="false">
      <c r="A200" s="12" t="n">
        <v>195</v>
      </c>
      <c r="B200" s="12" t="s">
        <v>28</v>
      </c>
      <c r="C200" s="12" t="s">
        <v>467</v>
      </c>
      <c r="D200" s="32" t="s">
        <v>468</v>
      </c>
      <c r="E200" s="12" t="n">
        <v>231</v>
      </c>
      <c r="F200" s="12" t="n">
        <v>130</v>
      </c>
      <c r="G200" s="12" t="n">
        <v>361</v>
      </c>
      <c r="H200" s="36" t="n">
        <f aca="false">ROUND(E200/G200*100,0)/100</f>
        <v>0.64</v>
      </c>
      <c r="I200" s="12" t="str">
        <f aca="false">IF(H200&gt;=Summary!$L$6,"Eligible","Shortage")</f>
        <v>Shortage</v>
      </c>
      <c r="J200" s="12" t="str">
        <f aca="false">IF(H200&lt;Summary!$L$8,"YES","No")</f>
        <v>No</v>
      </c>
      <c r="K200" s="12" t="str">
        <f aca="false">IF(H200&gt;=Summary!$L$7,"Counted","Not Counted")</f>
        <v>Counted</v>
      </c>
      <c r="L200" s="17" t="n">
        <f aca="false">IF(H200&gt;=Summary!$L$6,20,ROUND(H200/Summary!$L$6*10,1)*2)</f>
        <v>17</v>
      </c>
      <c r="M200" s="37" t="n">
        <f aca="false">20-L200</f>
        <v>3</v>
      </c>
      <c r="N200" s="12" t="str">
        <f aca="false">IF(H200&gt;=Summary!$L$6,"75%+ (all benefits)",IF(H200&gt;=Summary!$L$7,"55-74%",IF(H200&gt;=Summary!$L$8,"30-54%","Below 30%")))</f>
        <v>55-74%</v>
      </c>
      <c r="O200" s="13" t="n">
        <f aca="false">(E200+Summary!$L$13)/(G200+Summary!$L$13)</f>
        <v>0.725738396624473</v>
      </c>
      <c r="P200" s="17" t="n">
        <f aca="false">IF(O200&gt;=Summary!$L$6,20,ROUND(O200/Summary!$L$6*10,1)*2)</f>
        <v>19.4</v>
      </c>
      <c r="Q200" s="38" t="n">
        <f aca="false">P200-L200</f>
        <v>2.4</v>
      </c>
      <c r="R200" s="12" t="str">
        <f aca="false">IF(O200&gt;=Summary!$L$6,"75%+ (all benefits)",IF(O200&gt;=Summary!$L$7,"55-74%",IF(O200&gt;=Summary!$L$8,"30-54%","Below 30%")))</f>
        <v>55-74%</v>
      </c>
      <c r="S200" s="39" t="n">
        <f aca="false">MAX(0,ROUNDUP(Summary!$L$6*(G200+Summary!$L$13)-E200,0))</f>
        <v>125</v>
      </c>
      <c r="T200" s="39" t="n">
        <f aca="false">MAX(0,ROUNDUP(Summary!$L$7*(G200+Summary!$L$13)-E200,0))</f>
        <v>30</v>
      </c>
      <c r="U200" s="39" t="n">
        <f aca="false">MAX(0,ROUNDUP(Summary!$L$8*(G200+Summary!$L$13)-E200,0))</f>
        <v>0</v>
      </c>
    </row>
    <row r="201" customFormat="false" ht="15" hidden="false" customHeight="false" outlineLevel="0" collapsed="false">
      <c r="A201" s="40" t="n">
        <v>196</v>
      </c>
      <c r="B201" s="40" t="s">
        <v>28</v>
      </c>
      <c r="C201" s="40" t="s">
        <v>469</v>
      </c>
      <c r="D201" s="41" t="s">
        <v>470</v>
      </c>
      <c r="E201" s="40" t="n">
        <v>197</v>
      </c>
      <c r="F201" s="40" t="n">
        <v>164</v>
      </c>
      <c r="G201" s="40" t="n">
        <v>361</v>
      </c>
      <c r="H201" s="36" t="n">
        <f aca="false">ROUND(E201/G201*100,0)/100</f>
        <v>0.55</v>
      </c>
      <c r="I201" s="12" t="str">
        <f aca="false">IF(H201&gt;=Summary!$L$6,"Eligible","Shortage")</f>
        <v>Shortage</v>
      </c>
      <c r="J201" s="12" t="str">
        <f aca="false">IF(H201&lt;Summary!$L$8,"YES","No")</f>
        <v>No</v>
      </c>
      <c r="K201" s="12" t="str">
        <f aca="false">IF(H201&gt;=Summary!$L$7,"Counted","Not Counted")</f>
        <v>Counted</v>
      </c>
      <c r="L201" s="17" t="n">
        <f aca="false">IF(H201&gt;=Summary!$L$6,20,ROUND(H201/Summary!$L$6*10,1)*2)</f>
        <v>14.6</v>
      </c>
      <c r="M201" s="37" t="n">
        <f aca="false">20-L201</f>
        <v>5.4</v>
      </c>
      <c r="N201" s="12" t="str">
        <f aca="false">IF(H201&gt;=Summary!$L$6,"75%+ (all benefits)",IF(H201&gt;=Summary!$L$7,"55-74%",IF(H201&gt;=Summary!$L$8,"30-54%","Below 30%")))</f>
        <v>55-74%</v>
      </c>
      <c r="O201" s="13" t="n">
        <f aca="false">(E201+Summary!$L$13)/(G201+Summary!$L$13)</f>
        <v>0.654008438818565</v>
      </c>
      <c r="P201" s="17" t="n">
        <f aca="false">IF(O201&gt;=Summary!$L$6,20,ROUND(O201/Summary!$L$6*10,1)*2)</f>
        <v>17.4</v>
      </c>
      <c r="Q201" s="38" t="n">
        <f aca="false">P201-L201</f>
        <v>2.8</v>
      </c>
      <c r="R201" s="12" t="str">
        <f aca="false">IF(O201&gt;=Summary!$L$6,"75%+ (all benefits)",IF(O201&gt;=Summary!$L$7,"55-74%",IF(O201&gt;=Summary!$L$8,"30-54%","Below 30%")))</f>
        <v>55-74%</v>
      </c>
      <c r="S201" s="39" t="n">
        <f aca="false">MAX(0,ROUNDUP(Summary!$L$6*(G201+Summary!$L$13)-E201,0))</f>
        <v>159</v>
      </c>
      <c r="T201" s="39" t="n">
        <f aca="false">MAX(0,ROUNDUP(Summary!$L$7*(G201+Summary!$L$13)-E201,0))</f>
        <v>64</v>
      </c>
      <c r="U201" s="39" t="n">
        <f aca="false">MAX(0,ROUNDUP(Summary!$L$8*(G201+Summary!$L$13)-E201,0))</f>
        <v>0</v>
      </c>
    </row>
    <row r="202" customFormat="false" ht="15" hidden="false" customHeight="false" outlineLevel="0" collapsed="false">
      <c r="A202" s="12" t="n">
        <v>197</v>
      </c>
      <c r="B202" s="12" t="s">
        <v>28</v>
      </c>
      <c r="C202" s="12" t="s">
        <v>471</v>
      </c>
      <c r="D202" s="32" t="s">
        <v>472</v>
      </c>
      <c r="E202" s="12" t="n">
        <v>256</v>
      </c>
      <c r="F202" s="12" t="n">
        <v>105</v>
      </c>
      <c r="G202" s="12" t="n">
        <v>361</v>
      </c>
      <c r="H202" s="36" t="n">
        <f aca="false">ROUND(E202/G202*100,0)/100</f>
        <v>0.71</v>
      </c>
      <c r="I202" s="12" t="str">
        <f aca="false">IF(H202&gt;=Summary!$L$6,"Eligible","Shortage")</f>
        <v>Shortage</v>
      </c>
      <c r="J202" s="12" t="str">
        <f aca="false">IF(H202&lt;Summary!$L$8,"YES","No")</f>
        <v>No</v>
      </c>
      <c r="K202" s="12" t="str">
        <f aca="false">IF(H202&gt;=Summary!$L$7,"Counted","Not Counted")</f>
        <v>Counted</v>
      </c>
      <c r="L202" s="17" t="n">
        <f aca="false">IF(H202&gt;=Summary!$L$6,20,ROUND(H202/Summary!$L$6*10,1)*2)</f>
        <v>19</v>
      </c>
      <c r="M202" s="37" t="n">
        <f aca="false">20-L202</f>
        <v>1</v>
      </c>
      <c r="N202" s="12" t="str">
        <f aca="false">IF(H202&gt;=Summary!$L$6,"75%+ (all benefits)",IF(H202&gt;=Summary!$L$7,"55-74%",IF(H202&gt;=Summary!$L$8,"30-54%","Below 30%")))</f>
        <v>55-74%</v>
      </c>
      <c r="O202" s="13" t="n">
        <f aca="false">(E202+Summary!$L$13)/(G202+Summary!$L$13)</f>
        <v>0.778481012658228</v>
      </c>
      <c r="P202" s="17" t="n">
        <f aca="false">IF(O202&gt;=Summary!$L$6,20,ROUND(O202/Summary!$L$6*10,1)*2)</f>
        <v>20</v>
      </c>
      <c r="Q202" s="38" t="n">
        <f aca="false">P202-L202</f>
        <v>1</v>
      </c>
      <c r="R202" s="12" t="str">
        <f aca="false">IF(O202&gt;=Summary!$L$6,"75%+ (all benefits)",IF(O202&gt;=Summary!$L$7,"55-74%",IF(O202&gt;=Summary!$L$8,"30-54%","Below 30%")))</f>
        <v>75%+ (all benefits)</v>
      </c>
      <c r="S202" s="39" t="n">
        <f aca="false">MAX(0,ROUNDUP(Summary!$L$6*(G202+Summary!$L$13)-E202,0))</f>
        <v>100</v>
      </c>
      <c r="T202" s="39" t="n">
        <f aca="false">MAX(0,ROUNDUP(Summary!$L$7*(G202+Summary!$L$13)-E202,0))</f>
        <v>5</v>
      </c>
      <c r="U202" s="39" t="n">
        <f aca="false">MAX(0,ROUNDUP(Summary!$L$8*(G202+Summary!$L$13)-E202,0))</f>
        <v>0</v>
      </c>
    </row>
    <row r="203" customFormat="false" ht="15" hidden="false" customHeight="false" outlineLevel="0" collapsed="false">
      <c r="A203" s="40" t="n">
        <v>198</v>
      </c>
      <c r="B203" s="40" t="s">
        <v>28</v>
      </c>
      <c r="C203" s="40" t="s">
        <v>473</v>
      </c>
      <c r="D203" s="41" t="s">
        <v>474</v>
      </c>
      <c r="E203" s="40" t="n">
        <v>200</v>
      </c>
      <c r="F203" s="40" t="n">
        <v>161</v>
      </c>
      <c r="G203" s="40" t="n">
        <v>361</v>
      </c>
      <c r="H203" s="36" t="n">
        <f aca="false">ROUND(E203/G203*100,0)/100</f>
        <v>0.55</v>
      </c>
      <c r="I203" s="12" t="str">
        <f aca="false">IF(H203&gt;=Summary!$L$6,"Eligible","Shortage")</f>
        <v>Shortage</v>
      </c>
      <c r="J203" s="12" t="str">
        <f aca="false">IF(H203&lt;Summary!$L$8,"YES","No")</f>
        <v>No</v>
      </c>
      <c r="K203" s="12" t="str">
        <f aca="false">IF(H203&gt;=Summary!$L$7,"Counted","Not Counted")</f>
        <v>Counted</v>
      </c>
      <c r="L203" s="17" t="n">
        <f aca="false">IF(H203&gt;=Summary!$L$6,20,ROUND(H203/Summary!$L$6*10,1)*2)</f>
        <v>14.6</v>
      </c>
      <c r="M203" s="37" t="n">
        <f aca="false">20-L203</f>
        <v>5.4</v>
      </c>
      <c r="N203" s="12" t="str">
        <f aca="false">IF(H203&gt;=Summary!$L$6,"75%+ (all benefits)",IF(H203&gt;=Summary!$L$7,"55-74%",IF(H203&gt;=Summary!$L$8,"30-54%","Below 30%")))</f>
        <v>55-74%</v>
      </c>
      <c r="O203" s="13" t="n">
        <f aca="false">(E203+Summary!$L$13)/(G203+Summary!$L$13)</f>
        <v>0.660337552742616</v>
      </c>
      <c r="P203" s="17" t="n">
        <f aca="false">IF(O203&gt;=Summary!$L$6,20,ROUND(O203/Summary!$L$6*10,1)*2)</f>
        <v>17.6</v>
      </c>
      <c r="Q203" s="38" t="n">
        <f aca="false">P203-L203</f>
        <v>3</v>
      </c>
      <c r="R203" s="12" t="str">
        <f aca="false">IF(O203&gt;=Summary!$L$6,"75%+ (all benefits)",IF(O203&gt;=Summary!$L$7,"55-74%",IF(O203&gt;=Summary!$L$8,"30-54%","Below 30%")))</f>
        <v>55-74%</v>
      </c>
      <c r="S203" s="39" t="n">
        <f aca="false">MAX(0,ROUNDUP(Summary!$L$6*(G203+Summary!$L$13)-E203,0))</f>
        <v>156</v>
      </c>
      <c r="T203" s="39" t="n">
        <f aca="false">MAX(0,ROUNDUP(Summary!$L$7*(G203+Summary!$L$13)-E203,0))</f>
        <v>61</v>
      </c>
      <c r="U203" s="39" t="n">
        <f aca="false">MAX(0,ROUNDUP(Summary!$L$8*(G203+Summary!$L$13)-E203,0))</f>
        <v>0</v>
      </c>
    </row>
    <row r="204" customFormat="false" ht="15" hidden="false" customHeight="false" outlineLevel="0" collapsed="false">
      <c r="A204" s="12" t="n">
        <v>199</v>
      </c>
      <c r="B204" s="12" t="s">
        <v>28</v>
      </c>
      <c r="C204" s="12" t="s">
        <v>475</v>
      </c>
      <c r="D204" s="32" t="s">
        <v>476</v>
      </c>
      <c r="E204" s="12" t="n">
        <v>162</v>
      </c>
      <c r="F204" s="12" t="n">
        <v>199</v>
      </c>
      <c r="G204" s="12" t="n">
        <v>361</v>
      </c>
      <c r="H204" s="36" t="n">
        <f aca="false">ROUND(E204/G204*100,0)/100</f>
        <v>0.45</v>
      </c>
      <c r="I204" s="12" t="str">
        <f aca="false">IF(H204&gt;=Summary!$L$6,"Eligible","Shortage")</f>
        <v>Shortage</v>
      </c>
      <c r="J204" s="12" t="str">
        <f aca="false">IF(H204&lt;Summary!$L$8,"YES","No")</f>
        <v>No</v>
      </c>
      <c r="K204" s="12" t="str">
        <f aca="false">IF(H204&gt;=Summary!$L$7,"Counted","Not Counted")</f>
        <v>Not Counted</v>
      </c>
      <c r="L204" s="17" t="n">
        <f aca="false">IF(H204&gt;=Summary!$L$6,20,ROUND(H204/Summary!$L$6*10,1)*2)</f>
        <v>12</v>
      </c>
      <c r="M204" s="37" t="n">
        <f aca="false">20-L204</f>
        <v>8</v>
      </c>
      <c r="N204" s="12" t="str">
        <f aca="false">IF(H204&gt;=Summary!$L$6,"75%+ (all benefits)",IF(H204&gt;=Summary!$L$7,"55-74%",IF(H204&gt;=Summary!$L$8,"30-54%","Below 30%")))</f>
        <v>30-54%</v>
      </c>
      <c r="O204" s="13" t="n">
        <f aca="false">(E204+Summary!$L$13)/(G204+Summary!$L$13)</f>
        <v>0.580168776371308</v>
      </c>
      <c r="P204" s="17" t="n">
        <f aca="false">IF(O204&gt;=Summary!$L$6,20,ROUND(O204/Summary!$L$6*10,1)*2)</f>
        <v>15.4</v>
      </c>
      <c r="Q204" s="38" t="n">
        <f aca="false">P204-L204</f>
        <v>3.4</v>
      </c>
      <c r="R204" s="12" t="str">
        <f aca="false">IF(O204&gt;=Summary!$L$6,"75%+ (all benefits)",IF(O204&gt;=Summary!$L$7,"55-74%",IF(O204&gt;=Summary!$L$8,"30-54%","Below 30%")))</f>
        <v>55-74%</v>
      </c>
      <c r="S204" s="39" t="n">
        <f aca="false">MAX(0,ROUNDUP(Summary!$L$6*(G204+Summary!$L$13)-E204,0))</f>
        <v>194</v>
      </c>
      <c r="T204" s="39" t="n">
        <f aca="false">MAX(0,ROUNDUP(Summary!$L$7*(G204+Summary!$L$13)-E204,0))</f>
        <v>99</v>
      </c>
      <c r="U204" s="39" t="n">
        <f aca="false">MAX(0,ROUNDUP(Summary!$L$8*(G204+Summary!$L$13)-E204,0))</f>
        <v>0</v>
      </c>
    </row>
    <row r="205" customFormat="false" ht="15" hidden="false" customHeight="false" outlineLevel="0" collapsed="false">
      <c r="A205" s="40" t="n">
        <v>200</v>
      </c>
      <c r="B205" s="40" t="s">
        <v>28</v>
      </c>
      <c r="C205" s="40" t="s">
        <v>477</v>
      </c>
      <c r="D205" s="41" t="s">
        <v>478</v>
      </c>
      <c r="E205" s="40" t="n">
        <v>243</v>
      </c>
      <c r="F205" s="40" t="n">
        <v>118</v>
      </c>
      <c r="G205" s="40" t="n">
        <v>361</v>
      </c>
      <c r="H205" s="36" t="n">
        <f aca="false">ROUND(E205/G205*100,0)/100</f>
        <v>0.67</v>
      </c>
      <c r="I205" s="12" t="str">
        <f aca="false">IF(H205&gt;=Summary!$L$6,"Eligible","Shortage")</f>
        <v>Shortage</v>
      </c>
      <c r="J205" s="12" t="str">
        <f aca="false">IF(H205&lt;Summary!$L$8,"YES","No")</f>
        <v>No</v>
      </c>
      <c r="K205" s="12" t="str">
        <f aca="false">IF(H205&gt;=Summary!$L$7,"Counted","Not Counted")</f>
        <v>Counted</v>
      </c>
      <c r="L205" s="17" t="n">
        <f aca="false">IF(H205&gt;=Summary!$L$6,20,ROUND(H205/Summary!$L$6*10,1)*2)</f>
        <v>17.8</v>
      </c>
      <c r="M205" s="37" t="n">
        <f aca="false">20-L205</f>
        <v>2.2</v>
      </c>
      <c r="N205" s="12" t="str">
        <f aca="false">IF(H205&gt;=Summary!$L$6,"75%+ (all benefits)",IF(H205&gt;=Summary!$L$7,"55-74%",IF(H205&gt;=Summary!$L$8,"30-54%","Below 30%")))</f>
        <v>55-74%</v>
      </c>
      <c r="O205" s="13" t="n">
        <f aca="false">(E205+Summary!$L$13)/(G205+Summary!$L$13)</f>
        <v>0.751054852320675</v>
      </c>
      <c r="P205" s="17" t="n">
        <f aca="false">IF(O205&gt;=Summary!$L$6,20,ROUND(O205/Summary!$L$6*10,1)*2)</f>
        <v>20</v>
      </c>
      <c r="Q205" s="38" t="n">
        <f aca="false">P205-L205</f>
        <v>2.2</v>
      </c>
      <c r="R205" s="12" t="str">
        <f aca="false">IF(O205&gt;=Summary!$L$6,"75%+ (all benefits)",IF(O205&gt;=Summary!$L$7,"55-74%",IF(O205&gt;=Summary!$L$8,"30-54%","Below 30%")))</f>
        <v>75%+ (all benefits)</v>
      </c>
      <c r="S205" s="39" t="n">
        <f aca="false">MAX(0,ROUNDUP(Summary!$L$6*(G205+Summary!$L$13)-E205,0))</f>
        <v>113</v>
      </c>
      <c r="T205" s="39" t="n">
        <f aca="false">MAX(0,ROUNDUP(Summary!$L$7*(G205+Summary!$L$13)-E205,0))</f>
        <v>18</v>
      </c>
      <c r="U205" s="39" t="n">
        <f aca="false">MAX(0,ROUNDUP(Summary!$L$8*(G205+Summary!$L$13)-E205,0))</f>
        <v>0</v>
      </c>
    </row>
    <row r="206" customFormat="false" ht="15" hidden="false" customHeight="false" outlineLevel="0" collapsed="false">
      <c r="A206" s="12" t="n">
        <v>201</v>
      </c>
      <c r="B206" s="12" t="s">
        <v>28</v>
      </c>
      <c r="C206" s="12" t="s">
        <v>100</v>
      </c>
      <c r="D206" s="32" t="s">
        <v>101</v>
      </c>
      <c r="E206" s="12" t="n">
        <v>93</v>
      </c>
      <c r="F206" s="12" t="n">
        <v>268</v>
      </c>
      <c r="G206" s="12" t="n">
        <v>361</v>
      </c>
      <c r="H206" s="36" t="n">
        <f aca="false">ROUND(E206/G206*100,0)/100</f>
        <v>0.26</v>
      </c>
      <c r="I206" s="12" t="str">
        <f aca="false">IF(H206&gt;=Summary!$L$6,"Eligible","Shortage")</f>
        <v>Shortage</v>
      </c>
      <c r="J206" s="12" t="str">
        <f aca="false">IF(H206&lt;Summary!$L$8,"YES","No")</f>
        <v>YES</v>
      </c>
      <c r="K206" s="12" t="str">
        <f aca="false">IF(H206&gt;=Summary!$L$7,"Counted","Not Counted")</f>
        <v>Not Counted</v>
      </c>
      <c r="L206" s="17" t="n">
        <f aca="false">IF(H206&gt;=Summary!$L$6,20,ROUND(H206/Summary!$L$6*10,1)*2)</f>
        <v>7</v>
      </c>
      <c r="M206" s="37" t="n">
        <f aca="false">20-L206</f>
        <v>13</v>
      </c>
      <c r="N206" s="12" t="str">
        <f aca="false">IF(H206&gt;=Summary!$L$6,"75%+ (all benefits)",IF(H206&gt;=Summary!$L$7,"55-74%",IF(H206&gt;=Summary!$L$8,"30-54%","Below 30%")))</f>
        <v>Below 30%</v>
      </c>
      <c r="O206" s="13" t="n">
        <f aca="false">(E206+Summary!$L$13)/(G206+Summary!$L$13)</f>
        <v>0.434599156118144</v>
      </c>
      <c r="P206" s="17" t="n">
        <f aca="false">IF(O206&gt;=Summary!$L$6,20,ROUND(O206/Summary!$L$6*10,1)*2)</f>
        <v>11.6</v>
      </c>
      <c r="Q206" s="38" t="n">
        <f aca="false">P206-L206</f>
        <v>4.6</v>
      </c>
      <c r="R206" s="12" t="str">
        <f aca="false">IF(O206&gt;=Summary!$L$6,"75%+ (all benefits)",IF(O206&gt;=Summary!$L$7,"55-74%",IF(O206&gt;=Summary!$L$8,"30-54%","Below 30%")))</f>
        <v>30-54%</v>
      </c>
      <c r="S206" s="39" t="n">
        <f aca="false">MAX(0,ROUNDUP(Summary!$L$6*(G206+Summary!$L$13)-E206,0))</f>
        <v>263</v>
      </c>
      <c r="T206" s="39" t="n">
        <f aca="false">MAX(0,ROUNDUP(Summary!$L$7*(G206+Summary!$L$13)-E206,0))</f>
        <v>168</v>
      </c>
      <c r="U206" s="39" t="n">
        <f aca="false">MAX(0,ROUNDUP(Summary!$L$8*(G206+Summary!$L$13)-E206,0))</f>
        <v>50</v>
      </c>
    </row>
    <row r="207" customFormat="false" ht="15" hidden="false" customHeight="false" outlineLevel="0" collapsed="false">
      <c r="A207" s="40" t="n">
        <v>202</v>
      </c>
      <c r="B207" s="40" t="s">
        <v>28</v>
      </c>
      <c r="C207" s="40" t="s">
        <v>479</v>
      </c>
      <c r="D207" s="41" t="s">
        <v>480</v>
      </c>
      <c r="E207" s="40" t="n">
        <v>226</v>
      </c>
      <c r="F207" s="40" t="n">
        <v>135</v>
      </c>
      <c r="G207" s="40" t="n">
        <v>361</v>
      </c>
      <c r="H207" s="36" t="n">
        <f aca="false">ROUND(E207/G207*100,0)/100</f>
        <v>0.63</v>
      </c>
      <c r="I207" s="12" t="str">
        <f aca="false">IF(H207&gt;=Summary!$L$6,"Eligible","Shortage")</f>
        <v>Shortage</v>
      </c>
      <c r="J207" s="12" t="str">
        <f aca="false">IF(H207&lt;Summary!$L$8,"YES","No")</f>
        <v>No</v>
      </c>
      <c r="K207" s="12" t="str">
        <f aca="false">IF(H207&gt;=Summary!$L$7,"Counted","Not Counted")</f>
        <v>Counted</v>
      </c>
      <c r="L207" s="17" t="n">
        <f aca="false">IF(H207&gt;=Summary!$L$6,20,ROUND(H207/Summary!$L$6*10,1)*2)</f>
        <v>16.8</v>
      </c>
      <c r="M207" s="37" t="n">
        <f aca="false">20-L207</f>
        <v>3.2</v>
      </c>
      <c r="N207" s="12" t="str">
        <f aca="false">IF(H207&gt;=Summary!$L$6,"75%+ (all benefits)",IF(H207&gt;=Summary!$L$7,"55-74%",IF(H207&gt;=Summary!$L$8,"30-54%","Below 30%")))</f>
        <v>55-74%</v>
      </c>
      <c r="O207" s="13" t="n">
        <f aca="false">(E207+Summary!$L$13)/(G207+Summary!$L$13)</f>
        <v>0.715189873417722</v>
      </c>
      <c r="P207" s="17" t="n">
        <f aca="false">IF(O207&gt;=Summary!$L$6,20,ROUND(O207/Summary!$L$6*10,1)*2)</f>
        <v>19</v>
      </c>
      <c r="Q207" s="38" t="n">
        <f aca="false">P207-L207</f>
        <v>2.2</v>
      </c>
      <c r="R207" s="12" t="str">
        <f aca="false">IF(O207&gt;=Summary!$L$6,"75%+ (all benefits)",IF(O207&gt;=Summary!$L$7,"55-74%",IF(O207&gt;=Summary!$L$8,"30-54%","Below 30%")))</f>
        <v>55-74%</v>
      </c>
      <c r="S207" s="39" t="n">
        <f aca="false">MAX(0,ROUNDUP(Summary!$L$6*(G207+Summary!$L$13)-E207,0))</f>
        <v>130</v>
      </c>
      <c r="T207" s="39" t="n">
        <f aca="false">MAX(0,ROUNDUP(Summary!$L$7*(G207+Summary!$L$13)-E207,0))</f>
        <v>35</v>
      </c>
      <c r="U207" s="39" t="n">
        <f aca="false">MAX(0,ROUNDUP(Summary!$L$8*(G207+Summary!$L$13)-E207,0))</f>
        <v>0</v>
      </c>
    </row>
    <row r="208" customFormat="false" ht="15" hidden="false" customHeight="false" outlineLevel="0" collapsed="false">
      <c r="A208" s="12" t="n">
        <v>203</v>
      </c>
      <c r="B208" s="12" t="s">
        <v>28</v>
      </c>
      <c r="C208" s="12" t="s">
        <v>98</v>
      </c>
      <c r="D208" s="32" t="s">
        <v>99</v>
      </c>
      <c r="E208" s="12" t="n">
        <v>76</v>
      </c>
      <c r="F208" s="12" t="n">
        <v>285</v>
      </c>
      <c r="G208" s="12" t="n">
        <v>361</v>
      </c>
      <c r="H208" s="36" t="n">
        <f aca="false">ROUND(E208/G208*100,0)/100</f>
        <v>0.21</v>
      </c>
      <c r="I208" s="12" t="str">
        <f aca="false">IF(H208&gt;=Summary!$L$6,"Eligible","Shortage")</f>
        <v>Shortage</v>
      </c>
      <c r="J208" s="12" t="str">
        <f aca="false">IF(H208&lt;Summary!$L$8,"YES","No")</f>
        <v>YES</v>
      </c>
      <c r="K208" s="12" t="str">
        <f aca="false">IF(H208&gt;=Summary!$L$7,"Counted","Not Counted")</f>
        <v>Not Counted</v>
      </c>
      <c r="L208" s="17" t="n">
        <f aca="false">IF(H208&gt;=Summary!$L$6,20,ROUND(H208/Summary!$L$6*10,1)*2)</f>
        <v>5.6</v>
      </c>
      <c r="M208" s="37" t="n">
        <f aca="false">20-L208</f>
        <v>14.4</v>
      </c>
      <c r="N208" s="12" t="str">
        <f aca="false">IF(H208&gt;=Summary!$L$6,"75%+ (all benefits)",IF(H208&gt;=Summary!$L$7,"55-74%",IF(H208&gt;=Summary!$L$8,"30-54%","Below 30%")))</f>
        <v>Below 30%</v>
      </c>
      <c r="O208" s="13" t="n">
        <f aca="false">(E208+Summary!$L$13)/(G208+Summary!$L$13)</f>
        <v>0.39873417721519</v>
      </c>
      <c r="P208" s="17" t="n">
        <f aca="false">IF(O208&gt;=Summary!$L$6,20,ROUND(O208/Summary!$L$6*10,1)*2)</f>
        <v>10.6</v>
      </c>
      <c r="Q208" s="38" t="n">
        <f aca="false">P208-L208</f>
        <v>5</v>
      </c>
      <c r="R208" s="12" t="str">
        <f aca="false">IF(O208&gt;=Summary!$L$6,"75%+ (all benefits)",IF(O208&gt;=Summary!$L$7,"55-74%",IF(O208&gt;=Summary!$L$8,"30-54%","Below 30%")))</f>
        <v>30-54%</v>
      </c>
      <c r="S208" s="39" t="n">
        <f aca="false">MAX(0,ROUNDUP(Summary!$L$6*(G208+Summary!$L$13)-E208,0))</f>
        <v>280</v>
      </c>
      <c r="T208" s="39" t="n">
        <f aca="false">MAX(0,ROUNDUP(Summary!$L$7*(G208+Summary!$L$13)-E208,0))</f>
        <v>185</v>
      </c>
      <c r="U208" s="39" t="n">
        <f aca="false">MAX(0,ROUNDUP(Summary!$L$8*(G208+Summary!$L$13)-E208,0))</f>
        <v>67</v>
      </c>
    </row>
    <row r="209" customFormat="false" ht="15" hidden="false" customHeight="false" outlineLevel="0" collapsed="false">
      <c r="A209" s="40" t="n">
        <v>204</v>
      </c>
      <c r="B209" s="40" t="s">
        <v>28</v>
      </c>
      <c r="C209" s="40" t="s">
        <v>481</v>
      </c>
      <c r="D209" s="41" t="s">
        <v>482</v>
      </c>
      <c r="E209" s="40" t="n">
        <v>200</v>
      </c>
      <c r="F209" s="40" t="n">
        <v>161</v>
      </c>
      <c r="G209" s="40" t="n">
        <v>361</v>
      </c>
      <c r="H209" s="36" t="n">
        <f aca="false">ROUND(E209/G209*100,0)/100</f>
        <v>0.55</v>
      </c>
      <c r="I209" s="12" t="str">
        <f aca="false">IF(H209&gt;=Summary!$L$6,"Eligible","Shortage")</f>
        <v>Shortage</v>
      </c>
      <c r="J209" s="12" t="str">
        <f aca="false">IF(H209&lt;Summary!$L$8,"YES","No")</f>
        <v>No</v>
      </c>
      <c r="K209" s="12" t="str">
        <f aca="false">IF(H209&gt;=Summary!$L$7,"Counted","Not Counted")</f>
        <v>Counted</v>
      </c>
      <c r="L209" s="17" t="n">
        <f aca="false">IF(H209&gt;=Summary!$L$6,20,ROUND(H209/Summary!$L$6*10,1)*2)</f>
        <v>14.6</v>
      </c>
      <c r="M209" s="37" t="n">
        <f aca="false">20-L209</f>
        <v>5.4</v>
      </c>
      <c r="N209" s="12" t="str">
        <f aca="false">IF(H209&gt;=Summary!$L$6,"75%+ (all benefits)",IF(H209&gt;=Summary!$L$7,"55-74%",IF(H209&gt;=Summary!$L$8,"30-54%","Below 30%")))</f>
        <v>55-74%</v>
      </c>
      <c r="O209" s="13" t="n">
        <f aca="false">(E209+Summary!$L$13)/(G209+Summary!$L$13)</f>
        <v>0.660337552742616</v>
      </c>
      <c r="P209" s="17" t="n">
        <f aca="false">IF(O209&gt;=Summary!$L$6,20,ROUND(O209/Summary!$L$6*10,1)*2)</f>
        <v>17.6</v>
      </c>
      <c r="Q209" s="38" t="n">
        <f aca="false">P209-L209</f>
        <v>3</v>
      </c>
      <c r="R209" s="12" t="str">
        <f aca="false">IF(O209&gt;=Summary!$L$6,"75%+ (all benefits)",IF(O209&gt;=Summary!$L$7,"55-74%",IF(O209&gt;=Summary!$L$8,"30-54%","Below 30%")))</f>
        <v>55-74%</v>
      </c>
      <c r="S209" s="39" t="n">
        <f aca="false">MAX(0,ROUNDUP(Summary!$L$6*(G209+Summary!$L$13)-E209,0))</f>
        <v>156</v>
      </c>
      <c r="T209" s="39" t="n">
        <f aca="false">MAX(0,ROUNDUP(Summary!$L$7*(G209+Summary!$L$13)-E209,0))</f>
        <v>61</v>
      </c>
      <c r="U209" s="39" t="n">
        <f aca="false">MAX(0,ROUNDUP(Summary!$L$8*(G209+Summary!$L$13)-E209,0))</f>
        <v>0</v>
      </c>
    </row>
    <row r="210" customFormat="false" ht="15" hidden="false" customHeight="false" outlineLevel="0" collapsed="false">
      <c r="A210" s="12" t="n">
        <v>205</v>
      </c>
      <c r="B210" s="12" t="s">
        <v>28</v>
      </c>
      <c r="C210" s="12" t="s">
        <v>96</v>
      </c>
      <c r="D210" s="32" t="s">
        <v>97</v>
      </c>
      <c r="E210" s="12" t="n">
        <v>70</v>
      </c>
      <c r="F210" s="12" t="n">
        <v>291</v>
      </c>
      <c r="G210" s="12" t="n">
        <v>361</v>
      </c>
      <c r="H210" s="36" t="n">
        <f aca="false">ROUND(E210/G210*100,0)/100</f>
        <v>0.19</v>
      </c>
      <c r="I210" s="12" t="str">
        <f aca="false">IF(H210&gt;=Summary!$L$6,"Eligible","Shortage")</f>
        <v>Shortage</v>
      </c>
      <c r="J210" s="12" t="str">
        <f aca="false">IF(H210&lt;Summary!$L$8,"YES","No")</f>
        <v>YES</v>
      </c>
      <c r="K210" s="12" t="str">
        <f aca="false">IF(H210&gt;=Summary!$L$7,"Counted","Not Counted")</f>
        <v>Not Counted</v>
      </c>
      <c r="L210" s="17" t="n">
        <f aca="false">IF(H210&gt;=Summary!$L$6,20,ROUND(H210/Summary!$L$6*10,1)*2)</f>
        <v>5</v>
      </c>
      <c r="M210" s="37" t="n">
        <f aca="false">20-L210</f>
        <v>15</v>
      </c>
      <c r="N210" s="12" t="str">
        <f aca="false">IF(H210&gt;=Summary!$L$6,"75%+ (all benefits)",IF(H210&gt;=Summary!$L$7,"55-74%",IF(H210&gt;=Summary!$L$8,"30-54%","Below 30%")))</f>
        <v>Below 30%</v>
      </c>
      <c r="O210" s="13" t="n">
        <f aca="false">(E210+Summary!$L$13)/(G210+Summary!$L$13)</f>
        <v>0.386075949367089</v>
      </c>
      <c r="P210" s="17" t="n">
        <f aca="false">IF(O210&gt;=Summary!$L$6,20,ROUND(O210/Summary!$L$6*10,1)*2)</f>
        <v>10.2</v>
      </c>
      <c r="Q210" s="38" t="n">
        <f aca="false">P210-L210</f>
        <v>5.2</v>
      </c>
      <c r="R210" s="12" t="str">
        <f aca="false">IF(O210&gt;=Summary!$L$6,"75%+ (all benefits)",IF(O210&gt;=Summary!$L$7,"55-74%",IF(O210&gt;=Summary!$L$8,"30-54%","Below 30%")))</f>
        <v>30-54%</v>
      </c>
      <c r="S210" s="39" t="n">
        <f aca="false">MAX(0,ROUNDUP(Summary!$L$6*(G210+Summary!$L$13)-E210,0))</f>
        <v>286</v>
      </c>
      <c r="T210" s="39" t="n">
        <f aca="false">MAX(0,ROUNDUP(Summary!$L$7*(G210+Summary!$L$13)-E210,0))</f>
        <v>191</v>
      </c>
      <c r="U210" s="39" t="n">
        <f aca="false">MAX(0,ROUNDUP(Summary!$L$8*(G210+Summary!$L$13)-E210,0))</f>
        <v>73</v>
      </c>
    </row>
    <row r="211" customFormat="false" ht="15" hidden="false" customHeight="false" outlineLevel="0" collapsed="false">
      <c r="A211" s="40" t="n">
        <v>206</v>
      </c>
      <c r="B211" s="40" t="s">
        <v>28</v>
      </c>
      <c r="C211" s="40" t="s">
        <v>483</v>
      </c>
      <c r="D211" s="41" t="s">
        <v>484</v>
      </c>
      <c r="E211" s="40" t="n">
        <v>293</v>
      </c>
      <c r="F211" s="40" t="n">
        <v>68</v>
      </c>
      <c r="G211" s="40" t="n">
        <v>361</v>
      </c>
      <c r="H211" s="36" t="n">
        <f aca="false">ROUND(E211/G211*100,0)/100</f>
        <v>0.81</v>
      </c>
      <c r="I211" s="12" t="str">
        <f aca="false">IF(H211&gt;=Summary!$L$6,"Eligible","Shortage")</f>
        <v>Eligible</v>
      </c>
      <c r="J211" s="12" t="str">
        <f aca="false">IF(H211&lt;Summary!$L$8,"YES","No")</f>
        <v>No</v>
      </c>
      <c r="K211" s="12" t="str">
        <f aca="false">IF(H211&gt;=Summary!$L$7,"Counted","Not Counted")</f>
        <v>Counted</v>
      </c>
      <c r="L211" s="17" t="n">
        <f aca="false">IF(H211&gt;=Summary!$L$6,20,ROUND(H211/Summary!$L$6*10,1)*2)</f>
        <v>20</v>
      </c>
      <c r="M211" s="37" t="n">
        <f aca="false">20-L211</f>
        <v>0</v>
      </c>
      <c r="N211" s="12" t="str">
        <f aca="false">IF(H211&gt;=Summary!$L$6,"75%+ (all benefits)",IF(H211&gt;=Summary!$L$7,"55-74%",IF(H211&gt;=Summary!$L$8,"30-54%","Below 30%")))</f>
        <v>75%+ (all benefits)</v>
      </c>
      <c r="O211" s="13" t="n">
        <f aca="false">(E211+Summary!$L$13)/(G211+Summary!$L$13)</f>
        <v>0.856540084388186</v>
      </c>
      <c r="P211" s="17" t="n">
        <f aca="false">IF(O211&gt;=Summary!$L$6,20,ROUND(O211/Summary!$L$6*10,1)*2)</f>
        <v>20</v>
      </c>
      <c r="Q211" s="38" t="n">
        <f aca="false">P211-L211</f>
        <v>0</v>
      </c>
      <c r="R211" s="12" t="str">
        <f aca="false">IF(O211&gt;=Summary!$L$6,"75%+ (all benefits)",IF(O211&gt;=Summary!$L$7,"55-74%",IF(O211&gt;=Summary!$L$8,"30-54%","Below 30%")))</f>
        <v>75%+ (all benefits)</v>
      </c>
      <c r="S211" s="39" t="n">
        <f aca="false">MAX(0,ROUNDUP(Summary!$L$6*(G211+Summary!$L$13)-E211,0))</f>
        <v>63</v>
      </c>
      <c r="T211" s="39" t="n">
        <f aca="false">MAX(0,ROUNDUP(Summary!$L$7*(G211+Summary!$L$13)-E211,0))</f>
        <v>0</v>
      </c>
      <c r="U211" s="39" t="n">
        <f aca="false">MAX(0,ROUNDUP(Summary!$L$8*(G211+Summary!$L$13)-E211,0))</f>
        <v>0</v>
      </c>
    </row>
    <row r="212" customFormat="false" ht="15" hidden="false" customHeight="false" outlineLevel="0" collapsed="false">
      <c r="A212" s="12" t="n">
        <v>207</v>
      </c>
      <c r="B212" s="12" t="s">
        <v>28</v>
      </c>
      <c r="C212" s="12" t="s">
        <v>485</v>
      </c>
      <c r="D212" s="32" t="s">
        <v>486</v>
      </c>
      <c r="E212" s="12" t="n">
        <v>281</v>
      </c>
      <c r="F212" s="12" t="n">
        <v>80</v>
      </c>
      <c r="G212" s="12" t="n">
        <v>361</v>
      </c>
      <c r="H212" s="36" t="n">
        <f aca="false">ROUND(E212/G212*100,0)/100</f>
        <v>0.78</v>
      </c>
      <c r="I212" s="12" t="str">
        <f aca="false">IF(H212&gt;=Summary!$L$6,"Eligible","Shortage")</f>
        <v>Eligible</v>
      </c>
      <c r="J212" s="12" t="str">
        <f aca="false">IF(H212&lt;Summary!$L$8,"YES","No")</f>
        <v>No</v>
      </c>
      <c r="K212" s="12" t="str">
        <f aca="false">IF(H212&gt;=Summary!$L$7,"Counted","Not Counted")</f>
        <v>Counted</v>
      </c>
      <c r="L212" s="17" t="n">
        <f aca="false">IF(H212&gt;=Summary!$L$6,20,ROUND(H212/Summary!$L$6*10,1)*2)</f>
        <v>20</v>
      </c>
      <c r="M212" s="37" t="n">
        <f aca="false">20-L212</f>
        <v>0</v>
      </c>
      <c r="N212" s="12" t="str">
        <f aca="false">IF(H212&gt;=Summary!$L$6,"75%+ (all benefits)",IF(H212&gt;=Summary!$L$7,"55-74%",IF(H212&gt;=Summary!$L$8,"30-54%","Below 30%")))</f>
        <v>75%+ (all benefits)</v>
      </c>
      <c r="O212" s="13" t="n">
        <f aca="false">(E212+Summary!$L$13)/(G212+Summary!$L$13)</f>
        <v>0.831223628691983</v>
      </c>
      <c r="P212" s="17" t="n">
        <f aca="false">IF(O212&gt;=Summary!$L$6,20,ROUND(O212/Summary!$L$6*10,1)*2)</f>
        <v>20</v>
      </c>
      <c r="Q212" s="38" t="n">
        <f aca="false">P212-L212</f>
        <v>0</v>
      </c>
      <c r="R212" s="12" t="str">
        <f aca="false">IF(O212&gt;=Summary!$L$6,"75%+ (all benefits)",IF(O212&gt;=Summary!$L$7,"55-74%",IF(O212&gt;=Summary!$L$8,"30-54%","Below 30%")))</f>
        <v>75%+ (all benefits)</v>
      </c>
      <c r="S212" s="39" t="n">
        <f aca="false">MAX(0,ROUNDUP(Summary!$L$6*(G212+Summary!$L$13)-E212,0))</f>
        <v>75</v>
      </c>
      <c r="T212" s="39" t="n">
        <f aca="false">MAX(0,ROUNDUP(Summary!$L$7*(G212+Summary!$L$13)-E212,0))</f>
        <v>0</v>
      </c>
      <c r="U212" s="39" t="n">
        <f aca="false">MAX(0,ROUNDUP(Summary!$L$8*(G212+Summary!$L$13)-E212,0))</f>
        <v>0</v>
      </c>
    </row>
    <row r="213" customFormat="false" ht="15" hidden="false" customHeight="false" outlineLevel="0" collapsed="false">
      <c r="A213" s="40" t="n">
        <v>208</v>
      </c>
      <c r="B213" s="40" t="s">
        <v>28</v>
      </c>
      <c r="C213" s="40" t="s">
        <v>487</v>
      </c>
      <c r="D213" s="41" t="s">
        <v>488</v>
      </c>
      <c r="E213" s="40" t="n">
        <v>251</v>
      </c>
      <c r="F213" s="40" t="n">
        <v>110</v>
      </c>
      <c r="G213" s="40" t="n">
        <v>361</v>
      </c>
      <c r="H213" s="36" t="n">
        <f aca="false">ROUND(E213/G213*100,0)/100</f>
        <v>0.7</v>
      </c>
      <c r="I213" s="12" t="str">
        <f aca="false">IF(H213&gt;=Summary!$L$6,"Eligible","Shortage")</f>
        <v>Shortage</v>
      </c>
      <c r="J213" s="12" t="str">
        <f aca="false">IF(H213&lt;Summary!$L$8,"YES","No")</f>
        <v>No</v>
      </c>
      <c r="K213" s="12" t="str">
        <f aca="false">IF(H213&gt;=Summary!$L$7,"Counted","Not Counted")</f>
        <v>Counted</v>
      </c>
      <c r="L213" s="17" t="n">
        <f aca="false">IF(H213&gt;=Summary!$L$6,20,ROUND(H213/Summary!$L$6*10,1)*2)</f>
        <v>18.6</v>
      </c>
      <c r="M213" s="37" t="n">
        <f aca="false">20-L213</f>
        <v>1.4</v>
      </c>
      <c r="N213" s="12" t="str">
        <f aca="false">IF(H213&gt;=Summary!$L$6,"75%+ (all benefits)",IF(H213&gt;=Summary!$L$7,"55-74%",IF(H213&gt;=Summary!$L$8,"30-54%","Below 30%")))</f>
        <v>55-74%</v>
      </c>
      <c r="O213" s="13" t="n">
        <f aca="false">(E213+Summary!$L$13)/(G213+Summary!$L$13)</f>
        <v>0.767932489451477</v>
      </c>
      <c r="P213" s="17" t="n">
        <f aca="false">IF(O213&gt;=Summary!$L$6,20,ROUND(O213/Summary!$L$6*10,1)*2)</f>
        <v>20</v>
      </c>
      <c r="Q213" s="38" t="n">
        <f aca="false">P213-L213</f>
        <v>1.4</v>
      </c>
      <c r="R213" s="12" t="str">
        <f aca="false">IF(O213&gt;=Summary!$L$6,"75%+ (all benefits)",IF(O213&gt;=Summary!$L$7,"55-74%",IF(O213&gt;=Summary!$L$8,"30-54%","Below 30%")))</f>
        <v>75%+ (all benefits)</v>
      </c>
      <c r="S213" s="39" t="n">
        <f aca="false">MAX(0,ROUNDUP(Summary!$L$6*(G213+Summary!$L$13)-E213,0))</f>
        <v>105</v>
      </c>
      <c r="T213" s="39" t="n">
        <f aca="false">MAX(0,ROUNDUP(Summary!$L$7*(G213+Summary!$L$13)-E213,0))</f>
        <v>10</v>
      </c>
      <c r="U213" s="39" t="n">
        <f aca="false">MAX(0,ROUNDUP(Summary!$L$8*(G213+Summary!$L$13)-E213,0))</f>
        <v>0</v>
      </c>
    </row>
    <row r="214" customFormat="false" ht="15" hidden="false" customHeight="false" outlineLevel="0" collapsed="false">
      <c r="A214" s="12" t="n">
        <v>209</v>
      </c>
      <c r="B214" s="12" t="s">
        <v>28</v>
      </c>
      <c r="C214" s="12" t="s">
        <v>489</v>
      </c>
      <c r="D214" s="32" t="s">
        <v>490</v>
      </c>
      <c r="E214" s="12" t="n">
        <v>289</v>
      </c>
      <c r="F214" s="12" t="n">
        <v>72</v>
      </c>
      <c r="G214" s="12" t="n">
        <v>361</v>
      </c>
      <c r="H214" s="36" t="n">
        <f aca="false">ROUND(E214/G214*100,0)/100</f>
        <v>0.8</v>
      </c>
      <c r="I214" s="12" t="str">
        <f aca="false">IF(H214&gt;=Summary!$L$6,"Eligible","Shortage")</f>
        <v>Eligible</v>
      </c>
      <c r="J214" s="12" t="str">
        <f aca="false">IF(H214&lt;Summary!$L$8,"YES","No")</f>
        <v>No</v>
      </c>
      <c r="K214" s="12" t="str">
        <f aca="false">IF(H214&gt;=Summary!$L$7,"Counted","Not Counted")</f>
        <v>Counted</v>
      </c>
      <c r="L214" s="17" t="n">
        <f aca="false">IF(H214&gt;=Summary!$L$6,20,ROUND(H214/Summary!$L$6*10,1)*2)</f>
        <v>20</v>
      </c>
      <c r="M214" s="37" t="n">
        <f aca="false">20-L214</f>
        <v>0</v>
      </c>
      <c r="N214" s="12" t="str">
        <f aca="false">IF(H214&gt;=Summary!$L$6,"75%+ (all benefits)",IF(H214&gt;=Summary!$L$7,"55-74%",IF(H214&gt;=Summary!$L$8,"30-54%","Below 30%")))</f>
        <v>75%+ (all benefits)</v>
      </c>
      <c r="O214" s="13" t="n">
        <f aca="false">(E214+Summary!$L$13)/(G214+Summary!$L$13)</f>
        <v>0.848101265822785</v>
      </c>
      <c r="P214" s="17" t="n">
        <f aca="false">IF(O214&gt;=Summary!$L$6,20,ROUND(O214/Summary!$L$6*10,1)*2)</f>
        <v>20</v>
      </c>
      <c r="Q214" s="38" t="n">
        <f aca="false">P214-L214</f>
        <v>0</v>
      </c>
      <c r="R214" s="12" t="str">
        <f aca="false">IF(O214&gt;=Summary!$L$6,"75%+ (all benefits)",IF(O214&gt;=Summary!$L$7,"55-74%",IF(O214&gt;=Summary!$L$8,"30-54%","Below 30%")))</f>
        <v>75%+ (all benefits)</v>
      </c>
      <c r="S214" s="39" t="n">
        <f aca="false">MAX(0,ROUNDUP(Summary!$L$6*(G214+Summary!$L$13)-E214,0))</f>
        <v>67</v>
      </c>
      <c r="T214" s="39" t="n">
        <f aca="false">MAX(0,ROUNDUP(Summary!$L$7*(G214+Summary!$L$13)-E214,0))</f>
        <v>0</v>
      </c>
      <c r="U214" s="39" t="n">
        <f aca="false">MAX(0,ROUNDUP(Summary!$L$8*(G214+Summary!$L$13)-E214,0))</f>
        <v>0</v>
      </c>
    </row>
    <row r="215" customFormat="false" ht="15" hidden="false" customHeight="false" outlineLevel="0" collapsed="false">
      <c r="A215" s="40" t="n">
        <v>210</v>
      </c>
      <c r="B215" s="40" t="s">
        <v>28</v>
      </c>
      <c r="C215" s="40" t="s">
        <v>491</v>
      </c>
      <c r="D215" s="41" t="s">
        <v>492</v>
      </c>
      <c r="E215" s="40" t="n">
        <v>277</v>
      </c>
      <c r="F215" s="40" t="n">
        <v>84</v>
      </c>
      <c r="G215" s="40" t="n">
        <v>361</v>
      </c>
      <c r="H215" s="36" t="n">
        <f aca="false">ROUND(E215/G215*100,0)/100</f>
        <v>0.77</v>
      </c>
      <c r="I215" s="12" t="str">
        <f aca="false">IF(H215&gt;=Summary!$L$6,"Eligible","Shortage")</f>
        <v>Eligible</v>
      </c>
      <c r="J215" s="12" t="str">
        <f aca="false">IF(H215&lt;Summary!$L$8,"YES","No")</f>
        <v>No</v>
      </c>
      <c r="K215" s="12" t="str">
        <f aca="false">IF(H215&gt;=Summary!$L$7,"Counted","Not Counted")</f>
        <v>Counted</v>
      </c>
      <c r="L215" s="17" t="n">
        <f aca="false">IF(H215&gt;=Summary!$L$6,20,ROUND(H215/Summary!$L$6*10,1)*2)</f>
        <v>20</v>
      </c>
      <c r="M215" s="37" t="n">
        <f aca="false">20-L215</f>
        <v>0</v>
      </c>
      <c r="N215" s="12" t="str">
        <f aca="false">IF(H215&gt;=Summary!$L$6,"75%+ (all benefits)",IF(H215&gt;=Summary!$L$7,"55-74%",IF(H215&gt;=Summary!$L$8,"30-54%","Below 30%")))</f>
        <v>75%+ (all benefits)</v>
      </c>
      <c r="O215" s="13" t="n">
        <f aca="false">(E215+Summary!$L$13)/(G215+Summary!$L$13)</f>
        <v>0.822784810126582</v>
      </c>
      <c r="P215" s="17" t="n">
        <f aca="false">IF(O215&gt;=Summary!$L$6,20,ROUND(O215/Summary!$L$6*10,1)*2)</f>
        <v>20</v>
      </c>
      <c r="Q215" s="38" t="n">
        <f aca="false">P215-L215</f>
        <v>0</v>
      </c>
      <c r="R215" s="12" t="str">
        <f aca="false">IF(O215&gt;=Summary!$L$6,"75%+ (all benefits)",IF(O215&gt;=Summary!$L$7,"55-74%",IF(O215&gt;=Summary!$L$8,"30-54%","Below 30%")))</f>
        <v>75%+ (all benefits)</v>
      </c>
      <c r="S215" s="39" t="n">
        <f aca="false">MAX(0,ROUNDUP(Summary!$L$6*(G215+Summary!$L$13)-E215,0))</f>
        <v>79</v>
      </c>
      <c r="T215" s="39" t="n">
        <f aca="false">MAX(0,ROUNDUP(Summary!$L$7*(G215+Summary!$L$13)-E215,0))</f>
        <v>0</v>
      </c>
      <c r="U215" s="39" t="n">
        <f aca="false">MAX(0,ROUNDUP(Summary!$L$8*(G215+Summary!$L$13)-E215,0))</f>
        <v>0</v>
      </c>
    </row>
    <row r="216" customFormat="false" ht="15" hidden="false" customHeight="false" outlineLevel="0" collapsed="false">
      <c r="A216" s="12" t="n">
        <v>211</v>
      </c>
      <c r="B216" s="12" t="s">
        <v>28</v>
      </c>
      <c r="C216" s="12" t="s">
        <v>493</v>
      </c>
      <c r="D216" s="32" t="s">
        <v>494</v>
      </c>
      <c r="E216" s="12" t="n">
        <v>272</v>
      </c>
      <c r="F216" s="12" t="n">
        <v>89</v>
      </c>
      <c r="G216" s="12" t="n">
        <v>361</v>
      </c>
      <c r="H216" s="36" t="n">
        <f aca="false">ROUND(E216/G216*100,0)/100</f>
        <v>0.75</v>
      </c>
      <c r="I216" s="12" t="str">
        <f aca="false">IF(H216&gt;=Summary!$L$6,"Eligible","Shortage")</f>
        <v>Eligible</v>
      </c>
      <c r="J216" s="12" t="str">
        <f aca="false">IF(H216&lt;Summary!$L$8,"YES","No")</f>
        <v>No</v>
      </c>
      <c r="K216" s="12" t="str">
        <f aca="false">IF(H216&gt;=Summary!$L$7,"Counted","Not Counted")</f>
        <v>Counted</v>
      </c>
      <c r="L216" s="17" t="n">
        <f aca="false">IF(H216&gt;=Summary!$L$6,20,ROUND(H216/Summary!$L$6*10,1)*2)</f>
        <v>20</v>
      </c>
      <c r="M216" s="37" t="n">
        <f aca="false">20-L216</f>
        <v>0</v>
      </c>
      <c r="N216" s="12" t="str">
        <f aca="false">IF(H216&gt;=Summary!$L$6,"75%+ (all benefits)",IF(H216&gt;=Summary!$L$7,"55-74%",IF(H216&gt;=Summary!$L$8,"30-54%","Below 30%")))</f>
        <v>75%+ (all benefits)</v>
      </c>
      <c r="O216" s="13" t="n">
        <f aca="false">(E216+Summary!$L$13)/(G216+Summary!$L$13)</f>
        <v>0.812236286919831</v>
      </c>
      <c r="P216" s="17" t="n">
        <f aca="false">IF(O216&gt;=Summary!$L$6,20,ROUND(O216/Summary!$L$6*10,1)*2)</f>
        <v>20</v>
      </c>
      <c r="Q216" s="38" t="n">
        <f aca="false">P216-L216</f>
        <v>0</v>
      </c>
      <c r="R216" s="12" t="str">
        <f aca="false">IF(O216&gt;=Summary!$L$6,"75%+ (all benefits)",IF(O216&gt;=Summary!$L$7,"55-74%",IF(O216&gt;=Summary!$L$8,"30-54%","Below 30%")))</f>
        <v>75%+ (all benefits)</v>
      </c>
      <c r="S216" s="39" t="n">
        <f aca="false">MAX(0,ROUNDUP(Summary!$L$6*(G216+Summary!$L$13)-E216,0))</f>
        <v>84</v>
      </c>
      <c r="T216" s="39" t="n">
        <f aca="false">MAX(0,ROUNDUP(Summary!$L$7*(G216+Summary!$L$13)-E216,0))</f>
        <v>0</v>
      </c>
      <c r="U216" s="39" t="n">
        <f aca="false">MAX(0,ROUNDUP(Summary!$L$8*(G216+Summary!$L$13)-E216,0))</f>
        <v>0</v>
      </c>
    </row>
    <row r="217" customFormat="false" ht="15" hidden="false" customHeight="false" outlineLevel="0" collapsed="false">
      <c r="A217" s="40" t="n">
        <v>212</v>
      </c>
      <c r="B217" s="40" t="s">
        <v>28</v>
      </c>
      <c r="C217" s="40" t="s">
        <v>495</v>
      </c>
      <c r="D217" s="41" t="s">
        <v>496</v>
      </c>
      <c r="E217" s="40" t="n">
        <v>267</v>
      </c>
      <c r="F217" s="40" t="n">
        <v>94</v>
      </c>
      <c r="G217" s="40" t="n">
        <v>361</v>
      </c>
      <c r="H217" s="36" t="n">
        <f aca="false">ROUND(E217/G217*100,0)/100</f>
        <v>0.74</v>
      </c>
      <c r="I217" s="12" t="str">
        <f aca="false">IF(H217&gt;=Summary!$L$6,"Eligible","Shortage")</f>
        <v>Shortage</v>
      </c>
      <c r="J217" s="12" t="str">
        <f aca="false">IF(H217&lt;Summary!$L$8,"YES","No")</f>
        <v>No</v>
      </c>
      <c r="K217" s="12" t="str">
        <f aca="false">IF(H217&gt;=Summary!$L$7,"Counted","Not Counted")</f>
        <v>Counted</v>
      </c>
      <c r="L217" s="17" t="n">
        <f aca="false">IF(H217&gt;=Summary!$L$6,20,ROUND(H217/Summary!$L$6*10,1)*2)</f>
        <v>19.8</v>
      </c>
      <c r="M217" s="37" t="n">
        <f aca="false">20-L217</f>
        <v>0.199999999999999</v>
      </c>
      <c r="N217" s="12" t="str">
        <f aca="false">IF(H217&gt;=Summary!$L$6,"75%+ (all benefits)",IF(H217&gt;=Summary!$L$7,"55-74%",IF(H217&gt;=Summary!$L$8,"30-54%","Below 30%")))</f>
        <v>55-74%</v>
      </c>
      <c r="O217" s="13" t="n">
        <f aca="false">(E217+Summary!$L$13)/(G217+Summary!$L$13)</f>
        <v>0.80168776371308</v>
      </c>
      <c r="P217" s="17" t="n">
        <f aca="false">IF(O217&gt;=Summary!$L$6,20,ROUND(O217/Summary!$L$6*10,1)*2)</f>
        <v>20</v>
      </c>
      <c r="Q217" s="38" t="n">
        <f aca="false">P217-L217</f>
        <v>0.199999999999999</v>
      </c>
      <c r="R217" s="12" t="str">
        <f aca="false">IF(O217&gt;=Summary!$L$6,"75%+ (all benefits)",IF(O217&gt;=Summary!$L$7,"55-74%",IF(O217&gt;=Summary!$L$8,"30-54%","Below 30%")))</f>
        <v>75%+ (all benefits)</v>
      </c>
      <c r="S217" s="39" t="n">
        <f aca="false">MAX(0,ROUNDUP(Summary!$L$6*(G217+Summary!$L$13)-E217,0))</f>
        <v>89</v>
      </c>
      <c r="T217" s="39" t="n">
        <f aca="false">MAX(0,ROUNDUP(Summary!$L$7*(G217+Summary!$L$13)-E217,0))</f>
        <v>0</v>
      </c>
      <c r="U217" s="39" t="n">
        <f aca="false">MAX(0,ROUNDUP(Summary!$L$8*(G217+Summary!$L$13)-E217,0))</f>
        <v>0</v>
      </c>
    </row>
    <row r="218" customFormat="false" ht="15" hidden="false" customHeight="false" outlineLevel="0" collapsed="false">
      <c r="A218" s="12" t="n">
        <v>213</v>
      </c>
      <c r="B218" s="12" t="s">
        <v>28</v>
      </c>
      <c r="C218" s="12" t="s">
        <v>497</v>
      </c>
      <c r="D218" s="32" t="s">
        <v>498</v>
      </c>
      <c r="E218" s="12" t="n">
        <v>190</v>
      </c>
      <c r="F218" s="12" t="n">
        <v>171</v>
      </c>
      <c r="G218" s="12" t="n">
        <v>361</v>
      </c>
      <c r="H218" s="36" t="n">
        <f aca="false">ROUND(E218/G218*100,0)/100</f>
        <v>0.53</v>
      </c>
      <c r="I218" s="12" t="str">
        <f aca="false">IF(H218&gt;=Summary!$L$6,"Eligible","Shortage")</f>
        <v>Shortage</v>
      </c>
      <c r="J218" s="12" t="str">
        <f aca="false">IF(H218&lt;Summary!$L$8,"YES","No")</f>
        <v>No</v>
      </c>
      <c r="K218" s="12" t="str">
        <f aca="false">IF(H218&gt;=Summary!$L$7,"Counted","Not Counted")</f>
        <v>Not Counted</v>
      </c>
      <c r="L218" s="17" t="n">
        <f aca="false">IF(H218&gt;=Summary!$L$6,20,ROUND(H218/Summary!$L$6*10,1)*2)</f>
        <v>14.2</v>
      </c>
      <c r="M218" s="37" t="n">
        <f aca="false">20-L218</f>
        <v>5.8</v>
      </c>
      <c r="N218" s="12" t="str">
        <f aca="false">IF(H218&gt;=Summary!$L$6,"75%+ (all benefits)",IF(H218&gt;=Summary!$L$7,"55-74%",IF(H218&gt;=Summary!$L$8,"30-54%","Below 30%")))</f>
        <v>30-54%</v>
      </c>
      <c r="O218" s="13" t="n">
        <f aca="false">(E218+Summary!$L$13)/(G218+Summary!$L$13)</f>
        <v>0.639240506329114</v>
      </c>
      <c r="P218" s="17" t="n">
        <f aca="false">IF(O218&gt;=Summary!$L$6,20,ROUND(O218/Summary!$L$6*10,1)*2)</f>
        <v>17</v>
      </c>
      <c r="Q218" s="38" t="n">
        <f aca="false">P218-L218</f>
        <v>2.8</v>
      </c>
      <c r="R218" s="12" t="str">
        <f aca="false">IF(O218&gt;=Summary!$L$6,"75%+ (all benefits)",IF(O218&gt;=Summary!$L$7,"55-74%",IF(O218&gt;=Summary!$L$8,"30-54%","Below 30%")))</f>
        <v>55-74%</v>
      </c>
      <c r="S218" s="39" t="n">
        <f aca="false">MAX(0,ROUNDUP(Summary!$L$6*(G218+Summary!$L$13)-E218,0))</f>
        <v>166</v>
      </c>
      <c r="T218" s="39" t="n">
        <f aca="false">MAX(0,ROUNDUP(Summary!$L$7*(G218+Summary!$L$13)-E218,0))</f>
        <v>71</v>
      </c>
      <c r="U218" s="39" t="n">
        <f aca="false">MAX(0,ROUNDUP(Summary!$L$8*(G218+Summary!$L$13)-E218,0))</f>
        <v>0</v>
      </c>
    </row>
  </sheetData>
  <autoFilter ref="A5:U218"/>
  <mergeCells count="3">
    <mergeCell ref="A1:U1"/>
    <mergeCell ref="A2:U2"/>
    <mergeCell ref="A3:U3"/>
  </mergeCells>
  <conditionalFormatting sqref="H6:H218">
    <cfRule type="cellIs" priority="2" operator="greaterThanOrEqual" aboveAverage="0" equalAverage="0" bottom="0" percent="0" rank="0" text="" dxfId="0">
      <formula>0.75</formula>
    </cfRule>
    <cfRule type="cellIs" priority="3" operator="greaterThanOrEqual" aboveAverage="0" equalAverage="0" bottom="0" percent="0" rank="0" text="" dxfId="11">
      <formula>0.55</formula>
    </cfRule>
    <cfRule type="cellIs" priority="4" operator="greaterThanOrEqual" aboveAverage="0" equalAverage="0" bottom="0" percent="0" rank="0" text="" dxfId="12">
      <formula>0.3</formula>
    </cfRule>
    <cfRule type="cellIs" priority="5" operator="lessThan" aboveAverage="0" equalAverage="0" bottom="0" percent="0" rank="0" text="" dxfId="13">
      <formula>0.3</formula>
    </cfRule>
  </conditionalFormatting>
  <conditionalFormatting sqref="O6:O218">
    <cfRule type="cellIs" priority="6" operator="greaterThanOrEqual" aboveAverage="0" equalAverage="0" bottom="0" percent="0" rank="0" text="" dxfId="0">
      <formula>0.75</formula>
    </cfRule>
    <cfRule type="cellIs" priority="7" operator="greaterThanOrEqual" aboveAverage="0" equalAverage="0" bottom="0" percent="0" rank="0" text="" dxfId="11">
      <formula>0.55</formula>
    </cfRule>
    <cfRule type="cellIs" priority="8" operator="greaterThanOrEqual" aboveAverage="0" equalAverage="0" bottom="0" percent="0" rank="0" text="" dxfId="12">
      <formula>0.3</formula>
    </cfRule>
    <cfRule type="cellIs" priority="9" operator="lessThan" aboveAverage="0" equalAverage="0" bottom="0" percent="0" rank="0" text="" dxfId="13">
      <formula>0.3</formula>
    </cfRule>
  </conditionalFormatting>
  <conditionalFormatting sqref="I6:I218">
    <cfRule type="expression" priority="10" aboveAverage="0" equalAverage="0" bottom="0" percent="0" rank="0" text="" dxfId="0">
      <formula>I6="Eligible"</formula>
    </cfRule>
    <cfRule type="expression" priority="11" aboveAverage="0" equalAverage="0" bottom="0" percent="0" rank="0" text="" dxfId="12">
      <formula>I6="Shortage"</formula>
    </cfRule>
  </conditionalFormatting>
  <conditionalFormatting sqref="K6:K218">
    <cfRule type="expression" priority="12" aboveAverage="0" equalAverage="0" bottom="0" percent="0" rank="0" text="" dxfId="0">
      <formula>K6="Counted"</formula>
    </cfRule>
    <cfRule type="expression" priority="13" aboveAverage="0" equalAverage="0" bottom="0" percent="0" rank="0" text="" dxfId="12">
      <formula>K6="Not Counted"</formula>
    </cfRule>
  </conditionalFormatting>
  <conditionalFormatting sqref="J6:J218">
    <cfRule type="expression" priority="14" aboveAverage="0" equalAverage="0" bottom="0" percent="0" rank="0" text="" dxfId="1">
      <formula>J6="YES"</formula>
    </cfRule>
    <cfRule type="expression" priority="15" aboveAverage="0" equalAverage="0" bottom="0" percent="0" rank="0" text="" dxfId="0">
      <formula>J6="No"</formula>
    </cfRule>
  </conditionalFormatting>
  <conditionalFormatting sqref="L6:L218">
    <cfRule type="cellIs" priority="16" operator="greaterThanOrEqual" aboveAverage="0" equalAverage="0" bottom="0" percent="0" rank="0" text="" dxfId="0">
      <formula>20</formula>
    </cfRule>
    <cfRule type="cellIs" priority="17" operator="greaterThanOrEqual" aboveAverage="0" equalAverage="0" bottom="0" percent="0" rank="0" text="" dxfId="11">
      <formula>10</formula>
    </cfRule>
    <cfRule type="cellIs" priority="18" operator="lessThan" aboveAverage="0" equalAverage="0" bottom="0" percent="0" rank="0" text="" dxfId="12">
      <formula>10</formula>
    </cfRule>
  </conditionalFormatting>
  <conditionalFormatting sqref="P6:P218">
    <cfRule type="cellIs" priority="19" operator="greaterThanOrEqual" aboveAverage="0" equalAverage="0" bottom="0" percent="0" rank="0" text="" dxfId="0">
      <formula>20</formula>
    </cfRule>
    <cfRule type="cellIs" priority="20" operator="greaterThanOrEqual" aboveAverage="0" equalAverage="0" bottom="0" percent="0" rank="0" text="" dxfId="11">
      <formula>10</formula>
    </cfRule>
    <cfRule type="cellIs" priority="21" operator="lessThan" aboveAverage="0" equalAverage="0" bottom="0" percent="0" rank="0" text="" dxfId="12">
      <formula>10</formula>
    </cfRule>
  </conditionalFormatting>
  <conditionalFormatting sqref="M6:M218">
    <cfRule type="cellIs" priority="22" operator="greaterThan" aboveAverage="0" equalAverage="0" bottom="0" percent="0" rank="0" text="" dxfId="12">
      <formula>0</formula>
    </cfRule>
  </conditionalFormatting>
  <conditionalFormatting sqref="Q6:Q218">
    <cfRule type="cellIs" priority="23" operator="greaterThan" aboveAverage="0" equalAverage="0" bottom="0" percent="0" rank="0" text="" dxfId="0">
      <formula>0</formula>
    </cfRule>
  </conditionalFormatting>
  <conditionalFormatting sqref="N6:N218">
    <cfRule type="expression" priority="24" aboveAverage="0" equalAverage="0" bottom="0" percent="0" rank="0" text="" dxfId="0">
      <formula>N6="75%+ (all benefits)"</formula>
    </cfRule>
    <cfRule type="expression" priority="25" aboveAverage="0" equalAverage="0" bottom="0" percent="0" rank="0" text="" dxfId="11">
      <formula>N6="55-74%"</formula>
    </cfRule>
    <cfRule type="expression" priority="26" aboveAverage="0" equalAverage="0" bottom="0" percent="0" rank="0" text="" dxfId="12">
      <formula>N6="30-54%"</formula>
    </cfRule>
    <cfRule type="expression" priority="27" aboveAverage="0" equalAverage="0" bottom="0" percent="0" rank="0" text="" dxfId="13">
      <formula>N6="Below 30%"</formula>
    </cfRule>
  </conditionalFormatting>
  <conditionalFormatting sqref="R6:R218">
    <cfRule type="expression" priority="28" aboveAverage="0" equalAverage="0" bottom="0" percent="0" rank="0" text="" dxfId="0">
      <formula>R6="75%+ (all benefits)"</formula>
    </cfRule>
    <cfRule type="expression" priority="29" aboveAverage="0" equalAverage="0" bottom="0" percent="0" rank="0" text="" dxfId="11">
      <formula>R6="55-74%"</formula>
    </cfRule>
    <cfRule type="expression" priority="30" aboveAverage="0" equalAverage="0" bottom="0" percent="0" rank="0" text="" dxfId="12">
      <formula>R6="30-54%"</formula>
    </cfRule>
    <cfRule type="expression" priority="31" aboveAverage="0" equalAverage="0" bottom="0" percent="0" rank="0" text="" dxfId="13">
      <formula>R6="Below 30%"</formula>
    </cfRule>
  </conditionalFormatting>
  <conditionalFormatting sqref="S6:S218">
    <cfRule type="expression" priority="32" aboveAverage="0" equalAverage="0" bottom="0" percent="0" rank="0" text="" dxfId="14">
      <formula>S6&gt;Summary!$L$13</formula>
    </cfRule>
    <cfRule type="expression" priority="33" aboveAverage="0" equalAverage="0" bottom="0" percent="0" rank="0" text="" dxfId="11">
      <formula>AND(S6&gt;0,S6&lt;=Summary!$L$13)</formula>
    </cfRule>
  </conditionalFormatting>
  <conditionalFormatting sqref="T6:T218">
    <cfRule type="expression" priority="34" aboveAverage="0" equalAverage="0" bottom="0" percent="0" rank="0" text="" dxfId="14">
      <formula>T6&gt;Summary!$L$13</formula>
    </cfRule>
    <cfRule type="expression" priority="35" aboveAverage="0" equalAverage="0" bottom="0" percent="0" rank="0" text="" dxfId="11">
      <formula>AND(T6&gt;0,T6&lt;=Summary!$L$13)</formula>
    </cfRule>
  </conditionalFormatting>
  <conditionalFormatting sqref="U6:U218">
    <cfRule type="expression" priority="36" aboveAverage="0" equalAverage="0" bottom="0" percent="0" rank="0" text="" dxfId="14">
      <formula>U6&gt;Summary!$L$13</formula>
    </cfRule>
    <cfRule type="expression" priority="37" aboveAverage="0" equalAverage="0" bottom="0" percent="0" rank="0" text="" dxfId="11">
      <formula>AND(U6&gt;0,U6&lt;=Summary!$L$13)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2026-10-07T10:17:47Z</dcterms:created>
  <dc:creator>openpyxl</dc:creator>
  <dc:description/>
  <dc:language>en-US</dc:language>
  <cp:lastModifiedBy/>
  <dcterms:modified xsi:type="dcterms:W3CDTF">2026-10-07T10:17:48Z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