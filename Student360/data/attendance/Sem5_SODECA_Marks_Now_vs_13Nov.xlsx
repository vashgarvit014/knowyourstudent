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ll Report" sheetId="2" state="visible" r:id="rId4"/>
  </sheets>
  <definedNames>
    <definedName function="false" hidden="false" localSheetId="1" name="_xlnm.Print_Area" vbProcedure="false">'Full Report'!$A$1:$M$218</definedName>
    <definedName function="false" hidden="true" localSheetId="1" name="_xlnm._FilterDatabase" vbProcedure="false">'Full Report'!$A$5:$M$218</definedName>
    <definedName function="false" hidden="false" localSheetId="0" name="_xlnm.Print_Area" vbProcedure="false">Summary!$A$1:$H$33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<sst xmlns="http://schemas.openxmlformats.org/spreadsheetml/2006/main" count="692" uniqueCount="476">
  <si>
    <t xml:space="preserve">PIET Jaipur — Department of Computer Engineering</t>
  </si>
  <si>
    <t xml:space="preserve">5th Sem (V Sem, B.Tech. CSE &amp; CS(R)) — SODECA Attendance Marks: Now vs 13 Nov 2026</t>
  </si>
  <si>
    <t xml:space="preserve">SODECA attendance component (per SODECA scheme, III Year): Theory 10 + Practical 10 = 20 marks total. 75%+ attendance = full 10 marks per component; below 75% = proportional (%/75×10). Full roster and per-student formulas are on the 'Full Report' tab.</t>
  </si>
  <si>
    <t xml:space="preserve">Assumptions used for the 13 Nov 2026 projection</t>
  </si>
  <si>
    <t xml:space="preserve">Current attendance snapshot date</t>
  </si>
  <si>
    <t xml:space="preserve">05-Oct-2026</t>
  </si>
  <si>
    <t xml:space="preserve">Target date — Last Teaching Day, B.Tech V &amp; VII Sem (per PIET Academic Calendar 2026-27)</t>
  </si>
  <si>
    <t xml:space="preserve">13-Nov-2026</t>
  </si>
  <si>
    <t xml:space="preserve">Holidays excluded (besides Sundays &amp; Saturdays, treated as no-class): Maha Navami (19 Oct), Vijayadashami (20 Oct), Diwali break (6, 9, 10, 11 Nov)</t>
  </si>
  <si>
    <t xml:space="preserve">Remaining teaching days, 6 Oct – 13 Nov (Mon–Fri only, holidays above excluded)</t>
  </si>
  <si>
    <t xml:space="preserve">Estimated periods/day (calibrated: this cohort logged 348 periods over 65 Mon–Fri teaching days since classes began 6 Jul 2026)</t>
  </si>
  <si>
    <t xml:space="preserve">Estimated periods remaining till 13 Nov (= remaining days × periods/day, rounded)</t>
  </si>
  <si>
    <t xml:space="preserve">Headline — All Sections (n=213)</t>
  </si>
  <si>
    <t xml:space="preserve">Students (n)</t>
  </si>
  <si>
    <t xml:space="preserve">Average attendance today (%)</t>
  </si>
  <si>
    <t xml:space="preserve">Average current SODECA attendance marks (/20)</t>
  </si>
  <si>
    <t xml:space="preserve">Average attendance on last day of teaching, 13 Nov (%)</t>
  </si>
  <si>
    <t xml:space="preserve">Average attendance improvement possible (pt)</t>
  </si>
  <si>
    <t xml:space="preserve">Average max SODECA marks achievable by 13 Nov (/20)</t>
  </si>
  <si>
    <t xml:space="preserve">Average marks recoverable (max − current)</t>
  </si>
  <si>
    <t xml:space="preserve">Students already at full marks now (20/20)</t>
  </si>
  <si>
    <t xml:space="preserve">Students who CAN reach full marks (20/20) by 13 Nov</t>
  </si>
  <si>
    <t xml:space="preserve">Students who CANNOT reach full marks even with 100% attendance from now</t>
  </si>
  <si>
    <t xml:space="preserve">Students below 10/20 now (severe shortfall)</t>
  </si>
  <si>
    <t xml:space="preserve">By Section</t>
  </si>
  <si>
    <t xml:space="preserve">Section</t>
  </si>
  <si>
    <t xml:space="preserve">n</t>
  </si>
  <si>
    <t xml:space="preserve">Avg Attendance
Today (%)</t>
  </si>
  <si>
    <t xml:space="preserve">Avg Current
SODECA (/20)</t>
  </si>
  <si>
    <t xml:space="preserve">Avg Attendance on
13 Nov (%)</t>
  </si>
  <si>
    <t xml:space="preserve">Avg Improvement
Possible (pt)</t>
  </si>
  <si>
    <t xml:space="preserve">Avg Max SODECA
by 13 Nov (/20)</t>
  </si>
  <si>
    <t xml:space="preserve">Avg Marks
Recoverable</t>
  </si>
  <si>
    <t xml:space="preserve">5CS-A</t>
  </si>
  <si>
    <t xml:space="preserve">5CS-B</t>
  </si>
  <si>
    <t xml:space="preserve">5CS-C</t>
  </si>
  <si>
    <t xml:space="preserve">5CSR-D</t>
  </si>
  <si>
    <t xml:space="preserve">5th Sem — SODECA Attendance Marks: Now (5 Oct) vs 13 Nov 2026 (Last Teaching Day)</t>
  </si>
  <si>
    <t xml:space="preserve">Remaining periods estimate and target date are set on the Summary tab (referenced by formulas below). SODECA attendance marks: Theory 10 + Practical 10 = 20; 75%+ = full 10 each, below 75% = proportional. 'Attendance on Last Day of Teaching' and 'Attendance Improvement Possible' assume the student attends every remaining class from now to 13 Nov.</t>
  </si>
  <si>
    <t xml:space="preserve">S.No</t>
  </si>
  <si>
    <t xml:space="preserve">Reg. No</t>
  </si>
  <si>
    <t xml:space="preserve">Name</t>
  </si>
  <si>
    <t xml:space="preserve">Present
(5 Oct)</t>
  </si>
  <si>
    <t xml:space="preserve">Absent
(5 Oct)</t>
  </si>
  <si>
    <t xml:space="preserve">Total Periods
(5 Oct)</t>
  </si>
  <si>
    <t xml:space="preserve">Attendance
Today (%)</t>
  </si>
  <si>
    <t xml:space="preserve">Current SODECA
Attendance
Marks (/20)</t>
  </si>
  <si>
    <t xml:space="preserve">Attendance on
Last Day of
Teaching (13 Nov, %)</t>
  </si>
  <si>
    <t xml:space="preserve">Attendance
Improvement
Possible (pt)</t>
  </si>
  <si>
    <t xml:space="preserve">Max SODECA
Marks by
13 Nov (/20)</t>
  </si>
  <si>
    <t xml:space="preserve">Marks
Recoverable
(Max − Current)</t>
  </si>
  <si>
    <t xml:space="preserve">PIET24CS056</t>
  </si>
  <si>
    <t xml:space="preserve">GOURAV  BOHRA</t>
  </si>
  <si>
    <t xml:space="preserve">PIET25CS800</t>
  </si>
  <si>
    <t xml:space="preserve">TANISH</t>
  </si>
  <si>
    <t xml:space="preserve">PIET24CS027</t>
  </si>
  <si>
    <t xml:space="preserve">ANUSHKA  JADDON</t>
  </si>
  <si>
    <t xml:space="preserve">PIET24CS020</t>
  </si>
  <si>
    <t xml:space="preserve">ANKIT SINGH SHEKHAWAT</t>
  </si>
  <si>
    <t xml:space="preserve">PIET24CS051</t>
  </si>
  <si>
    <t xml:space="preserve">FEZAN  KHAN</t>
  </si>
  <si>
    <t xml:space="preserve">PIET24CS015</t>
  </si>
  <si>
    <t xml:space="preserve">ALOK  SHARMA</t>
  </si>
  <si>
    <t xml:space="preserve">PIET24CS042</t>
  </si>
  <si>
    <t xml:space="preserve">DEEPANSHU  SHEKHAWAT</t>
  </si>
  <si>
    <t xml:space="preserve">PIET24CS045</t>
  </si>
  <si>
    <t xml:space="preserve">DEVESH  VIJAY</t>
  </si>
  <si>
    <t xml:space="preserve">PIET24CS062</t>
  </si>
  <si>
    <t xml:space="preserve">HARSHVEER  SHEKHAWAT</t>
  </si>
  <si>
    <t xml:space="preserve">PIET25CS801</t>
  </si>
  <si>
    <t xml:space="preserve">PRIYANSHU  PRAJAPATI</t>
  </si>
  <si>
    <t xml:space="preserve">PIET24CS048</t>
  </si>
  <si>
    <t xml:space="preserve">DIVYANSH  SAINI</t>
  </si>
  <si>
    <t xml:space="preserve">PIET24CS026</t>
  </si>
  <si>
    <t xml:space="preserve">ANURADHA  VAISHNAV</t>
  </si>
  <si>
    <t xml:space="preserve">PIET24CS043</t>
  </si>
  <si>
    <t xml:space="preserve">DEVANSH  TIWARI</t>
  </si>
  <si>
    <t xml:space="preserve">PIET24CS005</t>
  </si>
  <si>
    <t xml:space="preserve">ABHINAV  CHOUDHARY</t>
  </si>
  <si>
    <t xml:space="preserve">PIET24CS007</t>
  </si>
  <si>
    <t xml:space="preserve">ADAVATIYA  DEVANSH</t>
  </si>
  <si>
    <t xml:space="preserve">PIET24CS053</t>
  </si>
  <si>
    <t xml:space="preserve">GARVIT SINGH RAJPUT</t>
  </si>
  <si>
    <t xml:space="preserve">PIET24CS058</t>
  </si>
  <si>
    <t xml:space="preserve">HARSH  PAREEK</t>
  </si>
  <si>
    <t xml:space="preserve">PIET24CS063</t>
  </si>
  <si>
    <t xml:space="preserve">HIMANSHU</t>
  </si>
  <si>
    <t xml:space="preserve">PIET24CS009</t>
  </si>
  <si>
    <t xml:space="preserve">ADITYA  SHARMA</t>
  </si>
  <si>
    <t xml:space="preserve">PIET24CS016</t>
  </si>
  <si>
    <t xml:space="preserve">AMAN</t>
  </si>
  <si>
    <t xml:space="preserve">PIET24CS018</t>
  </si>
  <si>
    <t xml:space="preserve">ANJALI  RAMANI</t>
  </si>
  <si>
    <t xml:space="preserve">PIET24CS039</t>
  </si>
  <si>
    <t xml:space="preserve">DAKSH  JAIN</t>
  </si>
  <si>
    <t xml:space="preserve">PIET24CS037</t>
  </si>
  <si>
    <t xml:space="preserve">BHUMIKA  SHARMA</t>
  </si>
  <si>
    <t xml:space="preserve">PIET24CS041</t>
  </si>
  <si>
    <t xml:space="preserve">DEEPAK KUMAR SAHU</t>
  </si>
  <si>
    <t xml:space="preserve">PIET24CS004</t>
  </si>
  <si>
    <t xml:space="preserve">ABHAY RAJ SINGH</t>
  </si>
  <si>
    <t xml:space="preserve">PIET24CS038</t>
  </si>
  <si>
    <t xml:space="preserve">BHUPENDRA  SINGH</t>
  </si>
  <si>
    <t xml:space="preserve">PIET24CS033</t>
  </si>
  <si>
    <t xml:space="preserve">AYUSH KUMAR JAIN</t>
  </si>
  <si>
    <t xml:space="preserve">PIET24CS057</t>
  </si>
  <si>
    <t xml:space="preserve">GOVIND  KUMAWAT</t>
  </si>
  <si>
    <t xml:space="preserve">PIET24CS001</t>
  </si>
  <si>
    <t xml:space="preserve">AAKRITI  GUPTA</t>
  </si>
  <si>
    <t xml:space="preserve">PIET24CS031</t>
  </si>
  <si>
    <t xml:space="preserve">ASHISH  KUMAWAT</t>
  </si>
  <si>
    <t xml:space="preserve">PIET24CS054</t>
  </si>
  <si>
    <t xml:space="preserve">GAURAV  TANEJA</t>
  </si>
  <si>
    <t xml:space="preserve">PIET24CS003</t>
  </si>
  <si>
    <t xml:space="preserve">AAYUSHMAAN SINGH CHAUHAN</t>
  </si>
  <si>
    <t xml:space="preserve">PIET24CS008</t>
  </si>
  <si>
    <t xml:space="preserve">ADITYA  CHOUDHARY</t>
  </si>
  <si>
    <t xml:space="preserve">PIET24CS011</t>
  </si>
  <si>
    <t xml:space="preserve">AKHILESH  SHARMA</t>
  </si>
  <si>
    <t xml:space="preserve">PIET24CS012</t>
  </si>
  <si>
    <t xml:space="preserve">AKSHAT  JAIN</t>
  </si>
  <si>
    <t xml:space="preserve">PIET24CS044</t>
  </si>
  <si>
    <t xml:space="preserve">DEVENDRA  SAINI</t>
  </si>
  <si>
    <t xml:space="preserve">PIET24CS055</t>
  </si>
  <si>
    <t xml:space="preserve">GIRIRAJ SINGH RATHORE</t>
  </si>
  <si>
    <t xml:space="preserve">PIET24CS052</t>
  </si>
  <si>
    <t xml:space="preserve">GARVIT  KULHARI</t>
  </si>
  <si>
    <t xml:space="preserve">PIET24CS022</t>
  </si>
  <si>
    <t xml:space="preserve">ANKIT  YADAV</t>
  </si>
  <si>
    <t xml:space="preserve">PIET24CS061</t>
  </si>
  <si>
    <t xml:space="preserve">HARSHVARDHAN  PRAJAPAT</t>
  </si>
  <si>
    <t xml:space="preserve">PIET24CS034</t>
  </si>
  <si>
    <t xml:space="preserve">AYUSHI  BHARDWAJ</t>
  </si>
  <si>
    <t xml:space="preserve">PIET24CS036</t>
  </si>
  <si>
    <t xml:space="preserve">BHAGIRATH  SHARMA</t>
  </si>
  <si>
    <t xml:space="preserve">PIET24CS059</t>
  </si>
  <si>
    <t xml:space="preserve">HARSHIT  BHUKAR</t>
  </si>
  <si>
    <t xml:space="preserve">PIET24CS025</t>
  </si>
  <si>
    <t xml:space="preserve">ANUBHAV  CHHIPA</t>
  </si>
  <si>
    <t xml:space="preserve">PIET24CS060</t>
  </si>
  <si>
    <t xml:space="preserve">HARSHVARDHAN  MEHTA</t>
  </si>
  <si>
    <t xml:space="preserve">PIET24CS014</t>
  </si>
  <si>
    <t xml:space="preserve">AKSHAY  VIJAYVARGIYA</t>
  </si>
  <si>
    <t xml:space="preserve">PIET24CS019</t>
  </si>
  <si>
    <t xml:space="preserve">ANKIT  RAO</t>
  </si>
  <si>
    <t xml:space="preserve">PIET24CS023</t>
  </si>
  <si>
    <t xml:space="preserve">ANMOL  SUROLIA</t>
  </si>
  <si>
    <t xml:space="preserve">PIET24CS035</t>
  </si>
  <si>
    <t xml:space="preserve">BABU LAL SINWAR</t>
  </si>
  <si>
    <t xml:space="preserve">PIET24CS002</t>
  </si>
  <si>
    <t xml:space="preserve">AARYA  VIJAY</t>
  </si>
  <si>
    <t xml:space="preserve">PIET24CS006</t>
  </si>
  <si>
    <t xml:space="preserve">ABHINAV  RAO</t>
  </si>
  <si>
    <t xml:space="preserve">PIET24CS021</t>
  </si>
  <si>
    <t xml:space="preserve">ANKIT SINGH TANWAR</t>
  </si>
  <si>
    <t xml:space="preserve">PIET24CS029</t>
  </si>
  <si>
    <t xml:space="preserve">ASHI  KHANDELWAL</t>
  </si>
  <si>
    <t xml:space="preserve">PIET24CS046</t>
  </si>
  <si>
    <t xml:space="preserve">DHAIRYA  JAIN</t>
  </si>
  <si>
    <t xml:space="preserve">PIET24CS050</t>
  </si>
  <si>
    <t xml:space="preserve">DIVYANSHU  SHROTRIYA</t>
  </si>
  <si>
    <t xml:space="preserve">PIET24CS013</t>
  </si>
  <si>
    <t xml:space="preserve">AKSHAT  VARSHNEY</t>
  </si>
  <si>
    <t xml:space="preserve">PIET24AD011</t>
  </si>
  <si>
    <t xml:space="preserve">ARPIT KUMAR PANCHAL</t>
  </si>
  <si>
    <t xml:space="preserve">PIET24CS030</t>
  </si>
  <si>
    <t xml:space="preserve">ASHISH  GUPTA</t>
  </si>
  <si>
    <t xml:space="preserve">PIET24CS049</t>
  </si>
  <si>
    <t xml:space="preserve">DIVYANSHI  LOHAR</t>
  </si>
  <si>
    <t xml:space="preserve">PIET24CS017</t>
  </si>
  <si>
    <t xml:space="preserve">ANJALI  KANWAR</t>
  </si>
  <si>
    <t xml:space="preserve">PIET24CS032</t>
  </si>
  <si>
    <t xml:space="preserve">ATUL  KUMAR</t>
  </si>
  <si>
    <t xml:space="preserve">PIET24CS109</t>
  </si>
  <si>
    <t xml:space="preserve">NAMAN  SHARMA</t>
  </si>
  <si>
    <t xml:space="preserve">PIET24CS077</t>
  </si>
  <si>
    <t xml:space="preserve">KAUSTUBH  SHARMA</t>
  </si>
  <si>
    <t xml:space="preserve">PIET24CS122</t>
  </si>
  <si>
    <t xml:space="preserve">PARTH  PARASHAR</t>
  </si>
  <si>
    <t xml:space="preserve">PIET24CS083</t>
  </si>
  <si>
    <t xml:space="preserve">KRISHAN KUMAR SHARMA</t>
  </si>
  <si>
    <t xml:space="preserve">PIET24CS111</t>
  </si>
  <si>
    <t xml:space="preserve">NAV  PARIKH</t>
  </si>
  <si>
    <t xml:space="preserve">PIET24CS064</t>
  </si>
  <si>
    <t xml:space="preserve">HIMANSHU  MUDGAL</t>
  </si>
  <si>
    <t xml:space="preserve">PIET24CS075</t>
  </si>
  <si>
    <t xml:space="preserve">KARTIK  MATHUR</t>
  </si>
  <si>
    <t xml:space="preserve">PIET24CS087</t>
  </si>
  <si>
    <t xml:space="preserve">KUNAL  KUMAWAT</t>
  </si>
  <si>
    <t xml:space="preserve">PIET24CS101</t>
  </si>
  <si>
    <t xml:space="preserve">MAYANK  PATHAK</t>
  </si>
  <si>
    <t xml:space="preserve">PIET24CS081</t>
  </si>
  <si>
    <t xml:space="preserve">KRISH  SHARMA</t>
  </si>
  <si>
    <t xml:space="preserve">PIET24CS070</t>
  </si>
  <si>
    <t xml:space="preserve">KANISHK  BALWANI</t>
  </si>
  <si>
    <t xml:space="preserve">PIET24CS092</t>
  </si>
  <si>
    <t xml:space="preserve">LOKESH KUMAR SAINI</t>
  </si>
  <si>
    <t xml:space="preserve">PIET24CS106</t>
  </si>
  <si>
    <t xml:space="preserve">MRIDUL  GOYAL</t>
  </si>
  <si>
    <t xml:space="preserve">PIET24CS108</t>
  </si>
  <si>
    <t xml:space="preserve">NAITIK  JAIN</t>
  </si>
  <si>
    <t xml:space="preserve">PIET24CS123</t>
  </si>
  <si>
    <t xml:space="preserve">PIYUSH  BISSA</t>
  </si>
  <si>
    <t xml:space="preserve">PIET24CS124</t>
  </si>
  <si>
    <t xml:space="preserve">PIYUSH  GUPTA</t>
  </si>
  <si>
    <t xml:space="preserve">PIET24CS117</t>
  </si>
  <si>
    <t xml:space="preserve">NIRMAL  YOGI</t>
  </si>
  <si>
    <t xml:space="preserve">PIET24CS071</t>
  </si>
  <si>
    <t xml:space="preserve">KAPISH  NAIN</t>
  </si>
  <si>
    <t xml:space="preserve">PIET24CS126</t>
  </si>
  <si>
    <t xml:space="preserve">POOJA  DHAKAD</t>
  </si>
  <si>
    <t xml:space="preserve">PIET24CS096</t>
  </si>
  <si>
    <t xml:space="preserve">MAHUL  VIJAY</t>
  </si>
  <si>
    <t xml:space="preserve">PIET24CS074</t>
  </si>
  <si>
    <t xml:space="preserve">KARTIK  GOYAL</t>
  </si>
  <si>
    <t xml:space="preserve">PIET24CS078</t>
  </si>
  <si>
    <t xml:space="preserve">KHUSHAL  SHARMA</t>
  </si>
  <si>
    <t xml:space="preserve">PIET24CS089</t>
  </si>
  <si>
    <t xml:space="preserve">LAKSHAY  AGARWAL</t>
  </si>
  <si>
    <t xml:space="preserve">PIET24CS113</t>
  </si>
  <si>
    <t xml:space="preserve">NEHA  YADAV</t>
  </si>
  <si>
    <t xml:space="preserve">PIET24CS121</t>
  </si>
  <si>
    <t xml:space="preserve">PARI  SINGHAL</t>
  </si>
  <si>
    <t xml:space="preserve">PIET24CS073</t>
  </si>
  <si>
    <t xml:space="preserve">KARTIK  DADHICH</t>
  </si>
  <si>
    <t xml:space="preserve">PIET24CS107</t>
  </si>
  <si>
    <t xml:space="preserve">MUSKAN  SAINI</t>
  </si>
  <si>
    <t xml:space="preserve">PIET24CS114</t>
  </si>
  <si>
    <t xml:space="preserve">NIDA  KHAN</t>
  </si>
  <si>
    <t xml:space="preserve">PIET24CS116</t>
  </si>
  <si>
    <t xml:space="preserve">NIRANJAN  NAGAR</t>
  </si>
  <si>
    <t xml:space="preserve">PIET24CS119</t>
  </si>
  <si>
    <t xml:space="preserve">NITIN  SHARMA</t>
  </si>
  <si>
    <t xml:space="preserve">PIET24CS084</t>
  </si>
  <si>
    <t xml:space="preserve">KRISHNA  SHARMA</t>
  </si>
  <si>
    <t xml:space="preserve">PIET24CS090</t>
  </si>
  <si>
    <t xml:space="preserve">LAV KUSH GARG</t>
  </si>
  <si>
    <t xml:space="preserve">PIET24CS098</t>
  </si>
  <si>
    <t xml:space="preserve">MANAS  BHATT</t>
  </si>
  <si>
    <t xml:space="preserve">PIET24CS099</t>
  </si>
  <si>
    <t xml:space="preserve">MANISH  JANGID</t>
  </si>
  <si>
    <t xml:space="preserve">PIET24CS093</t>
  </si>
  <si>
    <t xml:space="preserve">LUBHANSHU  JAIN</t>
  </si>
  <si>
    <t xml:space="preserve">PIET24CS065</t>
  </si>
  <si>
    <t xml:space="preserve">HIMMAT  SINGH</t>
  </si>
  <si>
    <t xml:space="preserve">PIET24CS066</t>
  </si>
  <si>
    <t xml:space="preserve">HITESH  KUMAWAT</t>
  </si>
  <si>
    <t xml:space="preserve">PIET24CS085</t>
  </si>
  <si>
    <t xml:space="preserve">KULDEEP  JAIN</t>
  </si>
  <si>
    <t xml:space="preserve">PIET24CS094</t>
  </si>
  <si>
    <t xml:space="preserve">LUCKY  DOKANIA</t>
  </si>
  <si>
    <t xml:space="preserve">PIET24CS086</t>
  </si>
  <si>
    <t xml:space="preserve">KUNAL  GUPTA</t>
  </si>
  <si>
    <t xml:space="preserve">PIET24CS104</t>
  </si>
  <si>
    <t xml:space="preserve">MOHIT  KUMAWAT</t>
  </si>
  <si>
    <t xml:space="preserve">PIET24CS110</t>
  </si>
  <si>
    <t xml:space="preserve">NARENDRA  CHHIPA</t>
  </si>
  <si>
    <t xml:space="preserve">PIET24AD063</t>
  </si>
  <si>
    <t xml:space="preserve">AVIKA  AGAL</t>
  </si>
  <si>
    <t xml:space="preserve">PIET24CS112</t>
  </si>
  <si>
    <t xml:space="preserve">NEELANSHI  JAIMINI</t>
  </si>
  <si>
    <t xml:space="preserve">PIET24CS069</t>
  </si>
  <si>
    <t xml:space="preserve">JATIN  UPADHYAY</t>
  </si>
  <si>
    <t xml:space="preserve">PIET24CS076</t>
  </si>
  <si>
    <t xml:space="preserve">KASHISH  GERA</t>
  </si>
  <si>
    <t xml:space="preserve">PIET24CS115</t>
  </si>
  <si>
    <t xml:space="preserve">NIKHIL  SAHU</t>
  </si>
  <si>
    <t xml:space="preserve">PIET24CS072</t>
  </si>
  <si>
    <t xml:space="preserve">KARINA  SHAHI</t>
  </si>
  <si>
    <t xml:space="preserve">PIET24CS082</t>
  </si>
  <si>
    <t xml:space="preserve">KRISHAN KANT JANGID</t>
  </si>
  <si>
    <t xml:space="preserve">PIET24CS091</t>
  </si>
  <si>
    <t xml:space="preserve">LAXITA  PAREEK</t>
  </si>
  <si>
    <t xml:space="preserve">PIET24CS079</t>
  </si>
  <si>
    <t xml:space="preserve">KISHAN  VAISHANAV</t>
  </si>
  <si>
    <t xml:space="preserve">PIET24CS068</t>
  </si>
  <si>
    <t xml:space="preserve">JATIN  DIDWANIA</t>
  </si>
  <si>
    <t xml:space="preserve">PIET24CS100</t>
  </si>
  <si>
    <t xml:space="preserve">MANSI  DADHICH</t>
  </si>
  <si>
    <t xml:space="preserve">PIET24CS105</t>
  </si>
  <si>
    <t xml:space="preserve">MOHMMAD  DANISH</t>
  </si>
  <si>
    <t xml:space="preserve">PIET24CS120</t>
  </si>
  <si>
    <t xml:space="preserve">OJASWINI  SHARMA</t>
  </si>
  <si>
    <t xml:space="preserve">PIET24CS125</t>
  </si>
  <si>
    <t xml:space="preserve">PIYUSH  SINGHAL</t>
  </si>
  <si>
    <t xml:space="preserve">PIET24CS102</t>
  </si>
  <si>
    <t xml:space="preserve">MEENAL  GOSWAMI</t>
  </si>
  <si>
    <t xml:space="preserve">PIET24CS097</t>
  </si>
  <si>
    <t xml:space="preserve">MAITRI  MEHTA</t>
  </si>
  <si>
    <t xml:space="preserve">PIET24CS080</t>
  </si>
  <si>
    <t xml:space="preserve">KRATI  SAINI</t>
  </si>
  <si>
    <t xml:space="preserve">PIET24CS088</t>
  </si>
  <si>
    <t xml:space="preserve">KUSHAL  AGRAWAL</t>
  </si>
  <si>
    <t xml:space="preserve">PIET24CS095</t>
  </si>
  <si>
    <t xml:space="preserve">MADHUR  PAREWA</t>
  </si>
  <si>
    <t xml:space="preserve">PIET24CS118</t>
  </si>
  <si>
    <t xml:space="preserve">NITIN KUMAR PRAJAPAT</t>
  </si>
  <si>
    <t xml:space="preserve">PIET24CS142</t>
  </si>
  <si>
    <t xml:space="preserve">RISHIT  MANGAL</t>
  </si>
  <si>
    <t xml:space="preserve">PIET24CS158</t>
  </si>
  <si>
    <t xml:space="preserve">SHIVANI</t>
  </si>
  <si>
    <t xml:space="preserve">PIET24CS171</t>
  </si>
  <si>
    <t xml:space="preserve">PIET24CS186</t>
  </si>
  <si>
    <t xml:space="preserve">VIVEK  KUMAR</t>
  </si>
  <si>
    <t xml:space="preserve">PIET24CS147</t>
  </si>
  <si>
    <t xml:space="preserve">SAKSHAM  AGRAWAL</t>
  </si>
  <si>
    <t xml:space="preserve">PIET24CS143</t>
  </si>
  <si>
    <t xml:space="preserve">RITENDRA  YADAV</t>
  </si>
  <si>
    <t xml:space="preserve">PIET24CS161</t>
  </si>
  <si>
    <t xml:space="preserve">SHREENATH  MEHTA</t>
  </si>
  <si>
    <t xml:space="preserve">PIET24CS169</t>
  </si>
  <si>
    <t xml:space="preserve">SUNIL PRAKASHCHANDRA JAT</t>
  </si>
  <si>
    <t xml:space="preserve">PIET24CS141</t>
  </si>
  <si>
    <t xml:space="preserve">RISHABH  SINGHAL</t>
  </si>
  <si>
    <t xml:space="preserve">PIET24CS137</t>
  </si>
  <si>
    <t xml:space="preserve">PUNIT</t>
  </si>
  <si>
    <t xml:space="preserve">PIET24CS166</t>
  </si>
  <si>
    <t xml:space="preserve">SIDDHARTH  SINGH</t>
  </si>
  <si>
    <t xml:space="preserve">PIET24CS168</t>
  </si>
  <si>
    <t xml:space="preserve">SNEH  JOSHI</t>
  </si>
  <si>
    <t xml:space="preserve">PIET24CS174</t>
  </si>
  <si>
    <t xml:space="preserve">TEENA  AGARWAL</t>
  </si>
  <si>
    <t xml:space="preserve">PIET24CS148</t>
  </si>
  <si>
    <t xml:space="preserve">SAKSHAM  TIWARI</t>
  </si>
  <si>
    <t xml:space="preserve">PIET24CS140</t>
  </si>
  <si>
    <t xml:space="preserve">RIDDHIMA  AGARWAL</t>
  </si>
  <si>
    <t xml:space="preserve">PIET24CS167</t>
  </si>
  <si>
    <t xml:space="preserve">SIDDHIKA  AGRAWAL</t>
  </si>
  <si>
    <t xml:space="preserve">PIET24CS136</t>
  </si>
  <si>
    <t xml:space="preserve">PRIYANSHU  JANGID</t>
  </si>
  <si>
    <t xml:space="preserve">PIET24CS134</t>
  </si>
  <si>
    <t xml:space="preserve">PRIYANKA  RAHISA</t>
  </si>
  <si>
    <t xml:space="preserve">PIET24CS163</t>
  </si>
  <si>
    <t xml:space="preserve">SHRUSTI  SHARMA</t>
  </si>
  <si>
    <t xml:space="preserve">PIET24CS151</t>
  </si>
  <si>
    <t xml:space="preserve">SANCHI  SINGAL</t>
  </si>
  <si>
    <t xml:space="preserve">PIET24CS172</t>
  </si>
  <si>
    <t xml:space="preserve">TANISHA  VAISHNAV</t>
  </si>
  <si>
    <t xml:space="preserve">PIET24CS146</t>
  </si>
  <si>
    <t xml:space="preserve">SACHIN  KUSHWAHA</t>
  </si>
  <si>
    <t xml:space="preserve">PIET24CS132</t>
  </si>
  <si>
    <t xml:space="preserve">PRINCE  BENIWAL</t>
  </si>
  <si>
    <t xml:space="preserve">PIET24CS164</t>
  </si>
  <si>
    <t xml:space="preserve">SHUBHAM PRATAP SINGH</t>
  </si>
  <si>
    <t xml:space="preserve">PIET24CS150</t>
  </si>
  <si>
    <t xml:space="preserve">SAMYAK  JAIN</t>
  </si>
  <si>
    <t xml:space="preserve">PIET24CS128</t>
  </si>
  <si>
    <t xml:space="preserve">PRADEEP  CHOUDHARY</t>
  </si>
  <si>
    <t xml:space="preserve">PIET24CS129</t>
  </si>
  <si>
    <t xml:space="preserve">PRADHUMAN  SINGH</t>
  </si>
  <si>
    <t xml:space="preserve">PIET24CS154</t>
  </si>
  <si>
    <t xml:space="preserve">SHAURYA  SHRIVASTAVA</t>
  </si>
  <si>
    <t xml:space="preserve">PIET24CS152</t>
  </si>
  <si>
    <t xml:space="preserve">SANDHYA  SHARMA</t>
  </si>
  <si>
    <t xml:space="preserve">PIET24CS170</t>
  </si>
  <si>
    <t xml:space="preserve">SURABHI  SARASWAT</t>
  </si>
  <si>
    <t xml:space="preserve">PIET24CS184</t>
  </si>
  <si>
    <t xml:space="preserve">VIBHOR  MATHUR</t>
  </si>
  <si>
    <t xml:space="preserve">PIET24CS180</t>
  </si>
  <si>
    <t xml:space="preserve">VANSH  SHARMA</t>
  </si>
  <si>
    <t xml:space="preserve">PIET24CS153</t>
  </si>
  <si>
    <t xml:space="preserve">SANVI  AGARWAL</t>
  </si>
  <si>
    <t xml:space="preserve">PIET24CS176</t>
  </si>
  <si>
    <t xml:space="preserve">TEJENDRAPAL SINGH RATHORE</t>
  </si>
  <si>
    <t xml:space="preserve">PIET24CS138</t>
  </si>
  <si>
    <t xml:space="preserve">RAJVEER  CHOUDHARY</t>
  </si>
  <si>
    <t xml:space="preserve">PIET24CS156</t>
  </si>
  <si>
    <t xml:space="preserve">SHIV SINGH RAJPUROHIT</t>
  </si>
  <si>
    <t xml:space="preserve">PIET24CS181</t>
  </si>
  <si>
    <t xml:space="preserve">VED  DANDOTIA</t>
  </si>
  <si>
    <t xml:space="preserve">PIET24CS190</t>
  </si>
  <si>
    <t xml:space="preserve">NAMAN  JAIN</t>
  </si>
  <si>
    <t xml:space="preserve">PIET24CS133</t>
  </si>
  <si>
    <t xml:space="preserve">PRIYA  ARORA</t>
  </si>
  <si>
    <t xml:space="preserve">PIET24CS139</t>
  </si>
  <si>
    <t xml:space="preserve">RAUNAK  KUMAR</t>
  </si>
  <si>
    <t xml:space="preserve">PIET24CS177</t>
  </si>
  <si>
    <t xml:space="preserve">TUSHAR  MAUKA</t>
  </si>
  <si>
    <t xml:space="preserve">PIET24CS157</t>
  </si>
  <si>
    <t xml:space="preserve">SHIVAM  VASHISTHA</t>
  </si>
  <si>
    <t xml:space="preserve">PIET24CS173</t>
  </si>
  <si>
    <t xml:space="preserve">TANISHKA  JAIN</t>
  </si>
  <si>
    <t xml:space="preserve">PIET24CS183</t>
  </si>
  <si>
    <t xml:space="preserve">VEDANT  SHARMA</t>
  </si>
  <si>
    <t xml:space="preserve">PIET24CS187</t>
  </si>
  <si>
    <t xml:space="preserve">YASH WARDHAN SHARMA</t>
  </si>
  <si>
    <t xml:space="preserve">PIET24CS189</t>
  </si>
  <si>
    <t xml:space="preserve">YOGENDRA SINGH RATHORE</t>
  </si>
  <si>
    <t xml:space="preserve">PIET24CS155</t>
  </si>
  <si>
    <t xml:space="preserve">SHELLEY  SAINI</t>
  </si>
  <si>
    <t xml:space="preserve">PIET24CS165</t>
  </si>
  <si>
    <t xml:space="preserve">SHUBHAM SINGH GURJAR</t>
  </si>
  <si>
    <t xml:space="preserve">PIET24CS144</t>
  </si>
  <si>
    <t xml:space="preserve">RUDRA  MISHRA</t>
  </si>
  <si>
    <t xml:space="preserve">PIET24CI033</t>
  </si>
  <si>
    <t xml:space="preserve">SANJANA  JEEVANANI</t>
  </si>
  <si>
    <t xml:space="preserve">PIET24CS162</t>
  </si>
  <si>
    <t xml:space="preserve">SHRESTH  SHARMA</t>
  </si>
  <si>
    <t xml:space="preserve">PIET24CS179</t>
  </si>
  <si>
    <t xml:space="preserve">VAISHALI  SHARMA</t>
  </si>
  <si>
    <t xml:space="preserve">PIET24CS131</t>
  </si>
  <si>
    <t xml:space="preserve">PRATISHTHA  SOMANI</t>
  </si>
  <si>
    <t xml:space="preserve">PIET24CS145</t>
  </si>
  <si>
    <t xml:space="preserve">RUPAL  BOTHRA</t>
  </si>
  <si>
    <t xml:space="preserve">PIET24CS182</t>
  </si>
  <si>
    <t xml:space="preserve">VEDANG  SAIN</t>
  </si>
  <si>
    <t xml:space="preserve">PIET24CS130</t>
  </si>
  <si>
    <t xml:space="preserve">PRANJAL  MATHUR</t>
  </si>
  <si>
    <t xml:space="preserve">PIET24CS149</t>
  </si>
  <si>
    <t xml:space="preserve">SAMEER KUMAR KAMAT</t>
  </si>
  <si>
    <t xml:space="preserve">PIET24CS185</t>
  </si>
  <si>
    <t xml:space="preserve">VISHAKHA  GORANI</t>
  </si>
  <si>
    <t xml:space="preserve">PIET24CR010</t>
  </si>
  <si>
    <t xml:space="preserve">CHETNA  SWARNKAR</t>
  </si>
  <si>
    <t xml:space="preserve">PIET24CS178</t>
  </si>
  <si>
    <t xml:space="preserve">UDIT  KHATRI</t>
  </si>
  <si>
    <t xml:space="preserve">PIET24CS135</t>
  </si>
  <si>
    <t xml:space="preserve">PRIYANSH  GARG</t>
  </si>
  <si>
    <t xml:space="preserve">PIET24CS160</t>
  </si>
  <si>
    <t xml:space="preserve">SHRAVIKA  JAIN</t>
  </si>
  <si>
    <t xml:space="preserve">PIET24CR028</t>
  </si>
  <si>
    <t xml:space="preserve">SYED SAIF SIKANDER</t>
  </si>
  <si>
    <t xml:space="preserve">PIET24CR025</t>
  </si>
  <si>
    <t xml:space="preserve">RAKESH  NATH</t>
  </si>
  <si>
    <t xml:space="preserve">PIET24CR022</t>
  </si>
  <si>
    <t xml:space="preserve">NITIN KUMAR SHARMA</t>
  </si>
  <si>
    <t xml:space="preserve">PIET24CR020</t>
  </si>
  <si>
    <t xml:space="preserve">NAVYA  JAIN</t>
  </si>
  <si>
    <t xml:space="preserve">PIET24CR013</t>
  </si>
  <si>
    <t xml:space="preserve">HIMANSHU  GAUD</t>
  </si>
  <si>
    <t xml:space="preserve">PIET24CR005</t>
  </si>
  <si>
    <t xml:space="preserve">ANIL  GADRI</t>
  </si>
  <si>
    <t xml:space="preserve">PIET24CR036</t>
  </si>
  <si>
    <t xml:space="preserve">KULDEEP  NAGAR</t>
  </si>
  <si>
    <t xml:space="preserve">PIET24CR017</t>
  </si>
  <si>
    <t xml:space="preserve">KEVA  RAM</t>
  </si>
  <si>
    <t xml:space="preserve">PIET24CR019</t>
  </si>
  <si>
    <t xml:space="preserve">MAYANK  SARASWAT</t>
  </si>
  <si>
    <t xml:space="preserve">PIET24CR026</t>
  </si>
  <si>
    <t xml:space="preserve">RISHABH  KUMAR</t>
  </si>
  <si>
    <t xml:space="preserve">PIET24CR009</t>
  </si>
  <si>
    <t xml:space="preserve">CHETAN KUMAR MANGAL</t>
  </si>
  <si>
    <t xml:space="preserve">PIET24CR014</t>
  </si>
  <si>
    <t xml:space="preserve">HIMANSHU  LUHAR</t>
  </si>
  <si>
    <t xml:space="preserve">PIET24CR002</t>
  </si>
  <si>
    <t xml:space="preserve">ADARSH  KUMAR</t>
  </si>
  <si>
    <t xml:space="preserve">PIET24CR016</t>
  </si>
  <si>
    <t xml:space="preserve">JYOTI  SHARMA</t>
  </si>
  <si>
    <t xml:space="preserve">PIET24CR023</t>
  </si>
  <si>
    <t xml:space="preserve">PRIYANSHU  SHARMA</t>
  </si>
  <si>
    <t xml:space="preserve">PIET24CR007</t>
  </si>
  <si>
    <t xml:space="preserve">ARPITA  JAIN</t>
  </si>
  <si>
    <t xml:space="preserve">PIET24CR011</t>
  </si>
  <si>
    <t xml:space="preserve">DHRUV  PARMAR</t>
  </si>
  <si>
    <t xml:space="preserve">PIET24CR021</t>
  </si>
  <si>
    <t xml:space="preserve">NIKHIL  JETHANI</t>
  </si>
  <si>
    <t xml:space="preserve">PIET24CR031</t>
  </si>
  <si>
    <t xml:space="preserve">VINAY  PRATAP</t>
  </si>
  <si>
    <t xml:space="preserve">PIET24CR018</t>
  </si>
  <si>
    <t xml:space="preserve">MAHIPAL  SINGH</t>
  </si>
  <si>
    <t xml:space="preserve">PIET24CR003</t>
  </si>
  <si>
    <t xml:space="preserve">AKSHAY  PAREEK</t>
  </si>
  <si>
    <t xml:space="preserve">PIET24CR012</t>
  </si>
  <si>
    <t xml:space="preserve">GOPAL  GADRI</t>
  </si>
  <si>
    <t xml:space="preserve">PIET24CR035</t>
  </si>
  <si>
    <t xml:space="preserve">JIYA  AGNIHOTRI</t>
  </si>
  <si>
    <t xml:space="preserve">PIET24CR034</t>
  </si>
  <si>
    <t xml:space="preserve">DIYA  AGNIHOTRI</t>
  </si>
  <si>
    <t xml:space="preserve">PIET24CR033</t>
  </si>
  <si>
    <t xml:space="preserve">YUVANSH  SAINI</t>
  </si>
  <si>
    <t xml:space="preserve">PIET24CR030</t>
  </si>
  <si>
    <t xml:space="preserve">VERSHA  GOYAL</t>
  </si>
  <si>
    <t xml:space="preserve">PIET24CR032</t>
  </si>
  <si>
    <t xml:space="preserve">VIVEK SINGH BHADOURIYA</t>
  </si>
  <si>
    <t xml:space="preserve">PIET24CR029</t>
  </si>
  <si>
    <t xml:space="preserve">TANISHKA  SHARMA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</si>
</sst>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%"/>
    <numFmt numFmtId="169" formatCode="\+0.0;\-0.0;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Times New Roman"/>
      <family val="0"/>
      <charset val="1"/>
    </font>
    <font>
      <b val="true"/>
      <sz val="12"/>
      <color rgb="FF1F3864"/>
      <name val="Times New Roman"/>
      <family val="0"/>
      <charset val="1"/>
    </font>
    <font>
      <i val="true"/>
      <sz val="9"/>
      <color rgb="FF666666"/>
      <name val="Times New Roman"/>
      <family val="0"/>
      <charset val="1"/>
    </font>
    <font>
      <b val="true"/>
      <sz val="10.5"/>
      <color rgb="FF1F3864"/>
      <name val="Times New Roman"/>
      <family val="0"/>
      <charset val="1"/>
    </font>
    <font>
      <i val="true"/>
      <sz val="9.5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808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4</v>
      </c>
      <c r="B6" s="5"/>
      <c r="C6" s="5"/>
      <c r="D6" s="5"/>
      <c r="E6" s="5"/>
      <c r="F6" s="5"/>
      <c r="G6" s="6" t="s">
        <v>5</v>
      </c>
    </row>
    <row r="7" customFormat="false" ht="24" hidden="false" customHeight="true" outlineLevel="0" collapsed="false">
      <c r="A7" s="5" t="s">
        <v>6</v>
      </c>
      <c r="B7" s="5"/>
      <c r="C7" s="5"/>
      <c r="D7" s="5"/>
      <c r="E7" s="5"/>
      <c r="F7" s="5"/>
      <c r="G7" s="6" t="s">
        <v>7</v>
      </c>
    </row>
    <row r="8" customFormat="false" ht="24" hidden="false" customHeight="true" outlineLevel="0" collapsed="false">
      <c r="A8" s="5" t="s">
        <v>8</v>
      </c>
      <c r="B8" s="5"/>
      <c r="C8" s="5"/>
      <c r="D8" s="5"/>
      <c r="E8" s="5"/>
      <c r="F8" s="5"/>
      <c r="G8" s="6"/>
    </row>
    <row r="9" customFormat="false" ht="24" hidden="false" customHeight="true" outlineLevel="0" collapsed="false">
      <c r="A9" s="5" t="s">
        <v>9</v>
      </c>
      <c r="B9" s="5"/>
      <c r="C9" s="5"/>
      <c r="D9" s="5"/>
      <c r="E9" s="5"/>
      <c r="F9" s="5"/>
      <c r="G9" s="7" t="n">
        <v>23</v>
      </c>
    </row>
    <row r="10" customFormat="false" ht="24" hidden="false" customHeight="true" outlineLevel="0" collapsed="false">
      <c r="A10" s="5" t="s">
        <v>10</v>
      </c>
      <c r="B10" s="5"/>
      <c r="C10" s="5"/>
      <c r="D10" s="5"/>
      <c r="E10" s="5"/>
      <c r="F10" s="5"/>
      <c r="G10" s="8" t="n">
        <v>5.35</v>
      </c>
    </row>
    <row r="11" customFormat="false" ht="24" hidden="false" customHeight="true" outlineLevel="0" collapsed="false">
      <c r="A11" s="5" t="s">
        <v>11</v>
      </c>
      <c r="B11" s="5"/>
      <c r="C11" s="5"/>
      <c r="D11" s="5"/>
      <c r="E11" s="5"/>
      <c r="F11" s="5"/>
      <c r="G11" s="7" t="n">
        <f aca="false">ROUND(G9*G10,0)</f>
        <v>123</v>
      </c>
    </row>
    <row r="14" customFormat="false" ht="15" hidden="false" customHeight="false" outlineLevel="0" collapsed="false">
      <c r="A14" s="9" t="s">
        <v>12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10" t="s">
        <v>13</v>
      </c>
      <c r="B15" s="10"/>
      <c r="C15" s="10"/>
      <c r="D15" s="10"/>
      <c r="E15" s="10"/>
      <c r="F15" s="10"/>
      <c r="G15" s="7" t="n">
        <f aca="false">COUNTA('Full Report'!B6:B218)</f>
        <v>213</v>
      </c>
    </row>
    <row r="16" customFormat="false" ht="15" hidden="false" customHeight="false" outlineLevel="0" collapsed="false">
      <c r="A16" s="10" t="s">
        <v>14</v>
      </c>
      <c r="B16" s="10"/>
      <c r="C16" s="10"/>
      <c r="D16" s="10"/>
      <c r="E16" s="10"/>
      <c r="F16" s="10"/>
      <c r="G16" s="11" t="n">
        <f aca="false">AVERAGE('Full Report'!H6:H218)</f>
        <v>60.5023474178404</v>
      </c>
    </row>
    <row r="17" customFormat="false" ht="15" hidden="false" customHeight="false" outlineLevel="0" collapsed="false">
      <c r="A17" s="10" t="s">
        <v>15</v>
      </c>
      <c r="B17" s="10"/>
      <c r="C17" s="10"/>
      <c r="D17" s="10"/>
      <c r="E17" s="10"/>
      <c r="F17" s="10"/>
      <c r="G17" s="11" t="n">
        <f aca="false">AVERAGE('Full Report'!I6:I218)</f>
        <v>15.8197183098592</v>
      </c>
    </row>
    <row r="18" customFormat="false" ht="15" hidden="false" customHeight="false" outlineLevel="0" collapsed="false">
      <c r="A18" s="10" t="s">
        <v>16</v>
      </c>
      <c r="B18" s="10"/>
      <c r="C18" s="10"/>
      <c r="D18" s="10"/>
      <c r="E18" s="10"/>
      <c r="F18" s="10"/>
      <c r="G18" s="12" t="n">
        <f aca="false">AVERAGE('Full Report'!J6:J218)</f>
        <v>0.707913439590124</v>
      </c>
    </row>
    <row r="19" customFormat="false" ht="15" hidden="false" customHeight="false" outlineLevel="0" collapsed="false">
      <c r="A19" s="10" t="s">
        <v>17</v>
      </c>
      <c r="B19" s="10"/>
      <c r="C19" s="10"/>
      <c r="D19" s="10"/>
      <c r="E19" s="10"/>
      <c r="F19" s="10"/>
      <c r="G19" s="13" t="n">
        <f aca="false">AVERAGE('Full Report'!K6:K218)</f>
        <v>10.288996541172</v>
      </c>
    </row>
    <row r="20" customFormat="false" ht="15" hidden="false" customHeight="false" outlineLevel="0" collapsed="false">
      <c r="A20" s="10" t="s">
        <v>18</v>
      </c>
      <c r="B20" s="10"/>
      <c r="C20" s="10"/>
      <c r="D20" s="10"/>
      <c r="E20" s="10"/>
      <c r="F20" s="10"/>
      <c r="G20" s="11" t="n">
        <f aca="false">AVERAGE('Full Report'!L6:L218)</f>
        <v>17.9389671361502</v>
      </c>
    </row>
    <row r="21" customFormat="false" ht="15" hidden="false" customHeight="false" outlineLevel="0" collapsed="false">
      <c r="A21" s="10" t="s">
        <v>19</v>
      </c>
      <c r="B21" s="10"/>
      <c r="C21" s="10"/>
      <c r="D21" s="10"/>
      <c r="E21" s="10"/>
      <c r="F21" s="10"/>
      <c r="G21" s="13" t="n">
        <f aca="false">AVERAGE('Full Report'!M6:M218)</f>
        <v>2.11924882629108</v>
      </c>
    </row>
    <row r="22" customFormat="false" ht="15" hidden="false" customHeight="false" outlineLevel="0" collapsed="false">
      <c r="A22" s="10" t="s">
        <v>20</v>
      </c>
      <c r="B22" s="10"/>
      <c r="C22" s="10"/>
      <c r="D22" s="10"/>
      <c r="E22" s="10"/>
      <c r="F22" s="10"/>
      <c r="G22" s="7" t="n">
        <f aca="false">COUNTIF('Full Report'!I6:I218,20)</f>
        <v>63</v>
      </c>
    </row>
    <row r="23" customFormat="false" ht="15" hidden="false" customHeight="false" outlineLevel="0" collapsed="false">
      <c r="A23" s="10" t="s">
        <v>21</v>
      </c>
      <c r="B23" s="10"/>
      <c r="C23" s="10"/>
      <c r="D23" s="10"/>
      <c r="E23" s="10"/>
      <c r="F23" s="10"/>
      <c r="G23" s="7" t="n">
        <f aca="false">COUNTIF('Full Report'!L6:L218,20)</f>
        <v>114</v>
      </c>
    </row>
    <row r="24" customFormat="false" ht="15" hidden="false" customHeight="false" outlineLevel="0" collapsed="false">
      <c r="A24" s="10" t="s">
        <v>22</v>
      </c>
      <c r="B24" s="10"/>
      <c r="C24" s="10"/>
      <c r="D24" s="10"/>
      <c r="E24" s="10"/>
      <c r="F24" s="10"/>
      <c r="G24" s="7" t="n">
        <f aca="false">COUNTIFS('Full Report'!I6:I218,"&lt;20",'Full Report'!L6:L218,"&lt;20")</f>
        <v>99</v>
      </c>
    </row>
    <row r="25" customFormat="false" ht="15" hidden="false" customHeight="false" outlineLevel="0" collapsed="false">
      <c r="A25" s="10" t="s">
        <v>23</v>
      </c>
      <c r="B25" s="10"/>
      <c r="C25" s="10"/>
      <c r="D25" s="10"/>
      <c r="E25" s="10"/>
      <c r="F25" s="10"/>
      <c r="G25" s="7" t="n">
        <f aca="false">COUNTIF('Full Report'!I6:I218,"&lt;10")</f>
        <v>30</v>
      </c>
    </row>
    <row r="27" customFormat="false" ht="15" hidden="false" customHeight="false" outlineLevel="0" collapsed="false">
      <c r="A27" s="9" t="s">
        <v>24</v>
      </c>
      <c r="B27" s="9"/>
      <c r="C27" s="9"/>
      <c r="D27" s="9"/>
      <c r="E27" s="9"/>
      <c r="F27" s="9"/>
      <c r="G27" s="9"/>
      <c r="H27" s="9"/>
    </row>
    <row r="28" customFormat="false" ht="23.85" hidden="false" customHeight="false" outlineLevel="0" collapsed="false">
      <c r="A28" s="14" t="s">
        <v>25</v>
      </c>
      <c r="B28" s="14" t="s">
        <v>26</v>
      </c>
      <c r="C28" s="14" t="s">
        <v>27</v>
      </c>
      <c r="D28" s="14" t="s">
        <v>28</v>
      </c>
      <c r="E28" s="14" t="s">
        <v>29</v>
      </c>
      <c r="F28" s="14" t="s">
        <v>30</v>
      </c>
      <c r="G28" s="14" t="s">
        <v>31</v>
      </c>
      <c r="H28" s="14" t="s">
        <v>32</v>
      </c>
    </row>
    <row r="29" customFormat="false" ht="15" hidden="false" customHeight="false" outlineLevel="0" collapsed="false">
      <c r="A29" s="15" t="s">
        <v>33</v>
      </c>
      <c r="B29" s="15" t="n">
        <f aca="false">COUNTIF('Full Report'!D6:D218,A29)</f>
        <v>61</v>
      </c>
      <c r="C29" s="16" t="n">
        <f aca="false">AVERAGEIF('Full Report'!D6:D218,A29,'Full Report'!H6:H218)</f>
        <v>61.2459016393443</v>
      </c>
      <c r="D29" s="16" t="n">
        <f aca="false">AVERAGEIF('Full Report'!D6:D218,A29,'Full Report'!I6:I218)</f>
        <v>15.8950819672131</v>
      </c>
      <c r="E29" s="17" t="n">
        <f aca="false">AVERAGEIF('Full Report'!D6:D218,A29,'Full Report'!J6:J218)</f>
        <v>0.713967491559639</v>
      </c>
      <c r="F29" s="18" t="n">
        <f aca="false">AVERAGEIF('Full Report'!D6:D218,A29,'Full Report'!K6:K218)</f>
        <v>10.1508475166197</v>
      </c>
      <c r="G29" s="16" t="n">
        <f aca="false">AVERAGEIF('Full Report'!D6:D218,A29,'Full Report'!L6:L218)</f>
        <v>17.872131147541</v>
      </c>
      <c r="H29" s="18" t="n">
        <f aca="false">AVERAGEIF('Full Report'!D6:D218,A29,'Full Report'!M6:M218)</f>
        <v>1.97704918032787</v>
      </c>
    </row>
    <row r="30" customFormat="false" ht="15" hidden="false" customHeight="false" outlineLevel="0" collapsed="false">
      <c r="A30" s="15" t="s">
        <v>34</v>
      </c>
      <c r="B30" s="15" t="n">
        <f aca="false">COUNTIF('Full Report'!D6:D218,A30)</f>
        <v>62</v>
      </c>
      <c r="C30" s="16" t="n">
        <f aca="false">AVERAGEIF('Full Report'!D6:D218,A30,'Full Report'!H6:H218)</f>
        <v>63.0322580645161</v>
      </c>
      <c r="D30" s="16" t="n">
        <f aca="false">AVERAGEIF('Full Report'!D6:D218,A30,'Full Report'!I6:I218)</f>
        <v>16.6483870967742</v>
      </c>
      <c r="E30" s="17" t="n">
        <f aca="false">AVERAGEIF('Full Report'!D6:D218,A30,'Full Report'!J6:J218)</f>
        <v>0.725909184302445</v>
      </c>
      <c r="F30" s="18" t="n">
        <f aca="false">AVERAGEIF('Full Report'!D6:D218,A30,'Full Report'!K6:K218)</f>
        <v>9.55866036572838</v>
      </c>
      <c r="G30" s="16" t="n">
        <f aca="false">AVERAGEIF('Full Report'!D6:D218,A30,'Full Report'!L6:L218)</f>
        <v>18.6806451612903</v>
      </c>
      <c r="H30" s="18" t="n">
        <f aca="false">AVERAGEIF('Full Report'!D6:D218,A30,'Full Report'!M6:M218)</f>
        <v>2.03225806451613</v>
      </c>
    </row>
    <row r="31" customFormat="false" ht="15" hidden="false" customHeight="false" outlineLevel="0" collapsed="false">
      <c r="A31" s="15" t="s">
        <v>35</v>
      </c>
      <c r="B31" s="15" t="n">
        <f aca="false">COUNTIF('Full Report'!D6:D218,A31)</f>
        <v>62</v>
      </c>
      <c r="C31" s="16" t="n">
        <f aca="false">AVERAGEIF('Full Report'!D6:D218,A31,'Full Report'!H6:H218)</f>
        <v>57.6290322580645</v>
      </c>
      <c r="D31" s="16" t="n">
        <f aca="false">AVERAGEIF('Full Report'!D6:D218,A31,'Full Report'!I6:I218)</f>
        <v>14.941935483871</v>
      </c>
      <c r="E31" s="17" t="n">
        <f aca="false">AVERAGEIF('Full Report'!D6:D218,A31,'Full Report'!J6:J218)</f>
        <v>0.687007739195946</v>
      </c>
      <c r="F31" s="18" t="n">
        <f aca="false">AVERAGEIF('Full Report'!D6:D218,A31,'Full Report'!K6:K218)</f>
        <v>11.07174166153</v>
      </c>
      <c r="G31" s="16" t="n">
        <f aca="false">AVERAGEIF('Full Report'!D6:D218,A31,'Full Report'!L6:L218)</f>
        <v>17.1774193548387</v>
      </c>
      <c r="H31" s="18" t="n">
        <f aca="false">AVERAGEIF('Full Report'!D6:D218,A31,'Full Report'!M6:M218)</f>
        <v>2.23548387096774</v>
      </c>
    </row>
    <row r="32" customFormat="false" ht="15" hidden="false" customHeight="false" outlineLevel="0" collapsed="false">
      <c r="A32" s="15" t="s">
        <v>36</v>
      </c>
      <c r="B32" s="15" t="n">
        <f aca="false">COUNTIF('Full Report'!D6:D218,A32)</f>
        <v>28</v>
      </c>
      <c r="C32" s="16" t="n">
        <f aca="false">AVERAGEIF('Full Report'!D6:D218,A32,'Full Report'!H6:H218)</f>
        <v>59.6428571428571</v>
      </c>
      <c r="D32" s="16" t="n">
        <f aca="false">AVERAGEIF('Full Report'!D6:D218,A32,'Full Report'!I6:I218)</f>
        <v>15.7642857142857</v>
      </c>
      <c r="E32" s="17" t="n">
        <f aca="false">AVERAGEIF('Full Report'!D6:D218,A32,'Full Report'!J6:J218)</f>
        <v>0.701167728237792</v>
      </c>
      <c r="F32" s="18" t="n">
        <f aca="false">AVERAGEIF('Full Report'!D6:D218,A32,'Full Report'!K6:K218)</f>
        <v>10.4739156809221</v>
      </c>
      <c r="G32" s="16" t="n">
        <f aca="false">AVERAGEIF('Full Report'!D6:D218,A32,'Full Report'!L6:L218)</f>
        <v>18.1285714285714</v>
      </c>
      <c r="H32" s="18" t="n">
        <f aca="false">AVERAGEIF('Full Report'!D6:D218,A32,'Full Report'!M6:M218)</f>
        <v>2.36428571428571</v>
      </c>
    </row>
  </sheetData>
  <mergeCells count="23">
    <mergeCell ref="A1:H1"/>
    <mergeCell ref="A2:H2"/>
    <mergeCell ref="A3:H3"/>
    <mergeCell ref="A5:H5"/>
    <mergeCell ref="A6:F6"/>
    <mergeCell ref="A7:F7"/>
    <mergeCell ref="A8:F8"/>
    <mergeCell ref="A9:F9"/>
    <mergeCell ref="A10:F10"/>
    <mergeCell ref="A11:F11"/>
    <mergeCell ref="A14:H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7:H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2" min="11" style="0" width="12"/>
    <col collapsed="false" customWidth="true" hidden="false" outlineLevel="0" max="13" min="13" style="0" width="1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.5" hidden="false" customHeight="true" outlineLevel="0" collapsed="false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43.5" hidden="false" customHeight="true" outlineLevel="0" collapsed="false">
      <c r="A5" s="14" t="s">
        <v>39</v>
      </c>
      <c r="B5" s="14" t="s">
        <v>40</v>
      </c>
      <c r="C5" s="14" t="s">
        <v>41</v>
      </c>
      <c r="D5" s="14" t="s">
        <v>25</v>
      </c>
      <c r="E5" s="14" t="s">
        <v>42</v>
      </c>
      <c r="F5" s="14" t="s">
        <v>43</v>
      </c>
      <c r="G5" s="14" t="s">
        <v>44</v>
      </c>
      <c r="H5" s="14" t="s">
        <v>45</v>
      </c>
      <c r="I5" s="14" t="s">
        <v>46</v>
      </c>
      <c r="J5" s="14" t="s">
        <v>47</v>
      </c>
      <c r="K5" s="14" t="s">
        <v>48</v>
      </c>
      <c r="L5" s="14" t="s">
        <v>49</v>
      </c>
      <c r="M5" s="14" t="s">
        <v>50</v>
      </c>
    </row>
    <row r="6" customFormat="false" ht="15" hidden="false" customHeight="false" outlineLevel="0" collapsed="false">
      <c r="A6" s="15" t="n">
        <v>1</v>
      </c>
      <c r="B6" s="15" t="s">
        <v>51</v>
      </c>
      <c r="C6" s="19" t="s">
        <v>52</v>
      </c>
      <c r="D6" s="15" t="s">
        <v>33</v>
      </c>
      <c r="E6" s="20" t="n">
        <v>2</v>
      </c>
      <c r="F6" s="20" t="n">
        <v>346</v>
      </c>
      <c r="G6" s="20" t="n">
        <v>348</v>
      </c>
      <c r="H6" s="16" t="n">
        <v>1</v>
      </c>
      <c r="I6" s="16" t="n">
        <f aca="false">IF(H6&gt;=75,20,ROUND(H6/75*10,1)*2)</f>
        <v>0.2</v>
      </c>
      <c r="J6" s="17" t="n">
        <f aca="false">(E6+Summary!$G$11)/(G6+Summary!$G$11)</f>
        <v>0.265392781316348</v>
      </c>
      <c r="K6" s="18" t="n">
        <f aca="false">J6*100-H6</f>
        <v>25.5392781316348</v>
      </c>
      <c r="L6" s="16" t="n">
        <f aca="false">IF(J6&gt;=0.75,20,ROUND(J6*100/75*10,1)*2)</f>
        <v>7</v>
      </c>
      <c r="M6" s="18" t="n">
        <f aca="false">L6-I6</f>
        <v>6.8</v>
      </c>
    </row>
    <row r="7" customFormat="false" ht="15" hidden="false" customHeight="false" outlineLevel="0" collapsed="false">
      <c r="A7" s="21" t="n">
        <v>2</v>
      </c>
      <c r="B7" s="21" t="s">
        <v>53</v>
      </c>
      <c r="C7" s="22" t="s">
        <v>54</v>
      </c>
      <c r="D7" s="21" t="s">
        <v>33</v>
      </c>
      <c r="E7" s="23" t="n">
        <v>4</v>
      </c>
      <c r="F7" s="23" t="n">
        <v>344</v>
      </c>
      <c r="G7" s="23" t="n">
        <v>348</v>
      </c>
      <c r="H7" s="24" t="n">
        <v>1</v>
      </c>
      <c r="I7" s="24" t="n">
        <f aca="false">IF(H7&gt;=75,20,ROUND(H7/75*10,1)*2)</f>
        <v>0.2</v>
      </c>
      <c r="J7" s="25" t="n">
        <f aca="false">(E7+Summary!$G$11)/(G7+Summary!$G$11)</f>
        <v>0.26963906581741</v>
      </c>
      <c r="K7" s="26" t="n">
        <f aca="false">J7*100-H7</f>
        <v>25.963906581741</v>
      </c>
      <c r="L7" s="24" t="n">
        <f aca="false">IF(J7&gt;=0.75,20,ROUND(J7*100/75*10,1)*2)</f>
        <v>7.2</v>
      </c>
      <c r="M7" s="26" t="n">
        <f aca="false">L7-I7</f>
        <v>7</v>
      </c>
    </row>
    <row r="8" customFormat="false" ht="15" hidden="false" customHeight="false" outlineLevel="0" collapsed="false">
      <c r="A8" s="15" t="n">
        <v>3</v>
      </c>
      <c r="B8" s="15" t="s">
        <v>55</v>
      </c>
      <c r="C8" s="19" t="s">
        <v>56</v>
      </c>
      <c r="D8" s="15" t="s">
        <v>33</v>
      </c>
      <c r="E8" s="20" t="n">
        <v>17</v>
      </c>
      <c r="F8" s="20" t="n">
        <v>331</v>
      </c>
      <c r="G8" s="20" t="n">
        <v>348</v>
      </c>
      <c r="H8" s="16" t="n">
        <v>5</v>
      </c>
      <c r="I8" s="16" t="n">
        <f aca="false">IF(H8&gt;=75,20,ROUND(H8/75*10,1)*2)</f>
        <v>1.4</v>
      </c>
      <c r="J8" s="17" t="n">
        <f aca="false">(E8+Summary!$G$11)/(G8+Summary!$G$11)</f>
        <v>0.29723991507431</v>
      </c>
      <c r="K8" s="18" t="n">
        <f aca="false">J8*100-H8</f>
        <v>24.723991507431</v>
      </c>
      <c r="L8" s="16" t="n">
        <f aca="false">IF(J8&gt;=0.75,20,ROUND(J8*100/75*10,1)*2)</f>
        <v>8</v>
      </c>
      <c r="M8" s="18" t="n">
        <f aca="false">L8-I8</f>
        <v>6.6</v>
      </c>
    </row>
    <row r="9" customFormat="false" ht="15" hidden="false" customHeight="false" outlineLevel="0" collapsed="false">
      <c r="A9" s="21" t="n">
        <v>4</v>
      </c>
      <c r="B9" s="21" t="s">
        <v>57</v>
      </c>
      <c r="C9" s="22" t="s">
        <v>58</v>
      </c>
      <c r="D9" s="21" t="s">
        <v>33</v>
      </c>
      <c r="E9" s="23" t="n">
        <v>64</v>
      </c>
      <c r="F9" s="23" t="n">
        <v>284</v>
      </c>
      <c r="G9" s="23" t="n">
        <v>348</v>
      </c>
      <c r="H9" s="24" t="n">
        <v>18</v>
      </c>
      <c r="I9" s="24" t="n">
        <f aca="false">IF(H9&gt;=75,20,ROUND(H9/75*10,1)*2)</f>
        <v>4.8</v>
      </c>
      <c r="J9" s="25" t="n">
        <f aca="false">(E9+Summary!$G$11)/(G9+Summary!$G$11)</f>
        <v>0.397027600849257</v>
      </c>
      <c r="K9" s="26" t="n">
        <f aca="false">J9*100-H9</f>
        <v>21.7027600849257</v>
      </c>
      <c r="L9" s="24" t="n">
        <f aca="false">IF(J9&gt;=0.75,20,ROUND(J9*100/75*10,1)*2)</f>
        <v>10.6</v>
      </c>
      <c r="M9" s="26" t="n">
        <f aca="false">L9-I9</f>
        <v>5.8</v>
      </c>
    </row>
    <row r="10" customFormat="false" ht="15" hidden="false" customHeight="false" outlineLevel="0" collapsed="false">
      <c r="A10" s="15" t="n">
        <v>5</v>
      </c>
      <c r="B10" s="15" t="s">
        <v>59</v>
      </c>
      <c r="C10" s="19" t="s">
        <v>60</v>
      </c>
      <c r="D10" s="15" t="s">
        <v>33</v>
      </c>
      <c r="E10" s="20" t="n">
        <v>63</v>
      </c>
      <c r="F10" s="20" t="n">
        <v>285</v>
      </c>
      <c r="G10" s="20" t="n">
        <v>348</v>
      </c>
      <c r="H10" s="16" t="n">
        <v>18</v>
      </c>
      <c r="I10" s="16" t="n">
        <f aca="false">IF(H10&gt;=75,20,ROUND(H10/75*10,1)*2)</f>
        <v>4.8</v>
      </c>
      <c r="J10" s="17" t="n">
        <f aca="false">(E10+Summary!$G$11)/(G10+Summary!$G$11)</f>
        <v>0.394904458598726</v>
      </c>
      <c r="K10" s="18" t="n">
        <f aca="false">J10*100-H10</f>
        <v>21.4904458598726</v>
      </c>
      <c r="L10" s="16" t="n">
        <f aca="false">IF(J10&gt;=0.75,20,ROUND(J10*100/75*10,1)*2)</f>
        <v>10.6</v>
      </c>
      <c r="M10" s="18" t="n">
        <f aca="false">L10-I10</f>
        <v>5.8</v>
      </c>
    </row>
    <row r="11" customFormat="false" ht="15" hidden="false" customHeight="false" outlineLevel="0" collapsed="false">
      <c r="A11" s="21" t="n">
        <v>6</v>
      </c>
      <c r="B11" s="21" t="s">
        <v>61</v>
      </c>
      <c r="C11" s="22" t="s">
        <v>62</v>
      </c>
      <c r="D11" s="21" t="s">
        <v>33</v>
      </c>
      <c r="E11" s="23" t="n">
        <v>68</v>
      </c>
      <c r="F11" s="23" t="n">
        <v>280</v>
      </c>
      <c r="G11" s="23" t="n">
        <v>348</v>
      </c>
      <c r="H11" s="24" t="n">
        <v>20</v>
      </c>
      <c r="I11" s="24" t="n">
        <f aca="false">IF(H11&gt;=75,20,ROUND(H11/75*10,1)*2)</f>
        <v>5.4</v>
      </c>
      <c r="J11" s="25" t="n">
        <f aca="false">(E11+Summary!$G$11)/(G11+Summary!$G$11)</f>
        <v>0.40552016985138</v>
      </c>
      <c r="K11" s="26" t="n">
        <f aca="false">J11*100-H11</f>
        <v>20.552016985138</v>
      </c>
      <c r="L11" s="24" t="n">
        <f aca="false">IF(J11&gt;=0.75,20,ROUND(J11*100/75*10,1)*2)</f>
        <v>10.8</v>
      </c>
      <c r="M11" s="26" t="n">
        <f aca="false">L11-I11</f>
        <v>5.4</v>
      </c>
    </row>
    <row r="12" customFormat="false" ht="15" hidden="false" customHeight="false" outlineLevel="0" collapsed="false">
      <c r="A12" s="15" t="n">
        <v>7</v>
      </c>
      <c r="B12" s="15" t="s">
        <v>63</v>
      </c>
      <c r="C12" s="19" t="s">
        <v>64</v>
      </c>
      <c r="D12" s="15" t="s">
        <v>33</v>
      </c>
      <c r="E12" s="20" t="n">
        <v>80</v>
      </c>
      <c r="F12" s="20" t="n">
        <v>268</v>
      </c>
      <c r="G12" s="20" t="n">
        <v>348</v>
      </c>
      <c r="H12" s="16" t="n">
        <v>23</v>
      </c>
      <c r="I12" s="16" t="n">
        <f aca="false">IF(H12&gt;=75,20,ROUND(H12/75*10,1)*2)</f>
        <v>6.2</v>
      </c>
      <c r="J12" s="17" t="n">
        <f aca="false">(E12+Summary!$G$11)/(G12+Summary!$G$11)</f>
        <v>0.43099787685775</v>
      </c>
      <c r="K12" s="18" t="n">
        <f aca="false">J12*100-H12</f>
        <v>20.099787685775</v>
      </c>
      <c r="L12" s="16" t="n">
        <f aca="false">IF(J12&gt;=0.75,20,ROUND(J12*100/75*10,1)*2)</f>
        <v>11.4</v>
      </c>
      <c r="M12" s="18" t="n">
        <f aca="false">L12-I12</f>
        <v>5.2</v>
      </c>
    </row>
    <row r="13" customFormat="false" ht="15" hidden="false" customHeight="false" outlineLevel="0" collapsed="false">
      <c r="A13" s="21" t="n">
        <v>8</v>
      </c>
      <c r="B13" s="21" t="s">
        <v>65</v>
      </c>
      <c r="C13" s="22" t="s">
        <v>66</v>
      </c>
      <c r="D13" s="21" t="s">
        <v>33</v>
      </c>
      <c r="E13" s="23" t="n">
        <v>95</v>
      </c>
      <c r="F13" s="23" t="n">
        <v>253</v>
      </c>
      <c r="G13" s="23" t="n">
        <v>348</v>
      </c>
      <c r="H13" s="24" t="n">
        <v>27</v>
      </c>
      <c r="I13" s="24" t="n">
        <f aca="false">IF(H13&gt;=75,20,ROUND(H13/75*10,1)*2)</f>
        <v>7.2</v>
      </c>
      <c r="J13" s="25" t="n">
        <f aca="false">(E13+Summary!$G$11)/(G13+Summary!$G$11)</f>
        <v>0.462845010615711</v>
      </c>
      <c r="K13" s="26" t="n">
        <f aca="false">J13*100-H13</f>
        <v>19.2845010615711</v>
      </c>
      <c r="L13" s="24" t="n">
        <f aca="false">IF(J13&gt;=0.75,20,ROUND(J13*100/75*10,1)*2)</f>
        <v>12.4</v>
      </c>
      <c r="M13" s="26" t="n">
        <f aca="false">L13-I13</f>
        <v>5.2</v>
      </c>
    </row>
    <row r="14" customFormat="false" ht="15" hidden="false" customHeight="false" outlineLevel="0" collapsed="false">
      <c r="A14" s="15" t="n">
        <v>9</v>
      </c>
      <c r="B14" s="15" t="s">
        <v>67</v>
      </c>
      <c r="C14" s="19" t="s">
        <v>68</v>
      </c>
      <c r="D14" s="15" t="s">
        <v>33</v>
      </c>
      <c r="E14" s="20" t="n">
        <v>94</v>
      </c>
      <c r="F14" s="20" t="n">
        <v>254</v>
      </c>
      <c r="G14" s="20" t="n">
        <v>348</v>
      </c>
      <c r="H14" s="16" t="n">
        <v>27</v>
      </c>
      <c r="I14" s="16" t="n">
        <f aca="false">IF(H14&gt;=75,20,ROUND(H14/75*10,1)*2)</f>
        <v>7.2</v>
      </c>
      <c r="J14" s="17" t="n">
        <f aca="false">(E14+Summary!$G$11)/(G14+Summary!$G$11)</f>
        <v>0.460721868365181</v>
      </c>
      <c r="K14" s="18" t="n">
        <f aca="false">J14*100-H14</f>
        <v>19.0721868365181</v>
      </c>
      <c r="L14" s="16" t="n">
        <f aca="false">IF(J14&gt;=0.75,20,ROUND(J14*100/75*10,1)*2)</f>
        <v>12.2</v>
      </c>
      <c r="M14" s="18" t="n">
        <f aca="false">L14-I14</f>
        <v>5</v>
      </c>
    </row>
    <row r="15" customFormat="false" ht="15" hidden="false" customHeight="false" outlineLevel="0" collapsed="false">
      <c r="A15" s="21" t="n">
        <v>10</v>
      </c>
      <c r="B15" s="21" t="s">
        <v>69</v>
      </c>
      <c r="C15" s="22" t="s">
        <v>70</v>
      </c>
      <c r="D15" s="21" t="s">
        <v>33</v>
      </c>
      <c r="E15" s="23" t="n">
        <v>111</v>
      </c>
      <c r="F15" s="23" t="n">
        <v>237</v>
      </c>
      <c r="G15" s="23" t="n">
        <v>348</v>
      </c>
      <c r="H15" s="24" t="n">
        <v>32</v>
      </c>
      <c r="I15" s="24" t="n">
        <f aca="false">IF(H15&gt;=75,20,ROUND(H15/75*10,1)*2)</f>
        <v>8.6</v>
      </c>
      <c r="J15" s="25" t="n">
        <f aca="false">(E15+Summary!$G$11)/(G15+Summary!$G$11)</f>
        <v>0.496815286624204</v>
      </c>
      <c r="K15" s="26" t="n">
        <f aca="false">J15*100-H15</f>
        <v>17.6815286624204</v>
      </c>
      <c r="L15" s="24" t="n">
        <f aca="false">IF(J15&gt;=0.75,20,ROUND(J15*100/75*10,1)*2)</f>
        <v>13.2</v>
      </c>
      <c r="M15" s="26" t="n">
        <f aca="false">L15-I15</f>
        <v>4.6</v>
      </c>
    </row>
    <row r="16" customFormat="false" ht="15" hidden="false" customHeight="false" outlineLevel="0" collapsed="false">
      <c r="A16" s="15" t="n">
        <v>11</v>
      </c>
      <c r="B16" s="15" t="s">
        <v>71</v>
      </c>
      <c r="C16" s="19" t="s">
        <v>72</v>
      </c>
      <c r="D16" s="15" t="s">
        <v>33</v>
      </c>
      <c r="E16" s="20" t="n">
        <v>116</v>
      </c>
      <c r="F16" s="20" t="n">
        <v>232</v>
      </c>
      <c r="G16" s="20" t="n">
        <v>348</v>
      </c>
      <c r="H16" s="16" t="n">
        <v>33</v>
      </c>
      <c r="I16" s="16" t="n">
        <f aca="false">IF(H16&gt;=75,20,ROUND(H16/75*10,1)*2)</f>
        <v>8.8</v>
      </c>
      <c r="J16" s="17" t="n">
        <f aca="false">(E16+Summary!$G$11)/(G16+Summary!$G$11)</f>
        <v>0.507430997876858</v>
      </c>
      <c r="K16" s="18" t="n">
        <f aca="false">J16*100-H16</f>
        <v>17.7430997876858</v>
      </c>
      <c r="L16" s="16" t="n">
        <f aca="false">IF(J16&gt;=0.75,20,ROUND(J16*100/75*10,1)*2)</f>
        <v>13.6</v>
      </c>
      <c r="M16" s="18" t="n">
        <f aca="false">L16-I16</f>
        <v>4.8</v>
      </c>
    </row>
    <row r="17" customFormat="false" ht="15" hidden="false" customHeight="false" outlineLevel="0" collapsed="false">
      <c r="A17" s="21" t="n">
        <v>12</v>
      </c>
      <c r="B17" s="21" t="s">
        <v>73</v>
      </c>
      <c r="C17" s="22" t="s">
        <v>74</v>
      </c>
      <c r="D17" s="21" t="s">
        <v>33</v>
      </c>
      <c r="E17" s="23" t="n">
        <v>133</v>
      </c>
      <c r="F17" s="23" t="n">
        <v>215</v>
      </c>
      <c r="G17" s="23" t="n">
        <v>348</v>
      </c>
      <c r="H17" s="24" t="n">
        <v>38</v>
      </c>
      <c r="I17" s="24" t="n">
        <f aca="false">IF(H17&gt;=75,20,ROUND(H17/75*10,1)*2)</f>
        <v>10.2</v>
      </c>
      <c r="J17" s="25" t="n">
        <f aca="false">(E17+Summary!$G$11)/(G17+Summary!$G$11)</f>
        <v>0.543524416135881</v>
      </c>
      <c r="K17" s="26" t="n">
        <f aca="false">J17*100-H17</f>
        <v>16.3524416135881</v>
      </c>
      <c r="L17" s="24" t="n">
        <f aca="false">IF(J17&gt;=0.75,20,ROUND(J17*100/75*10,1)*2)</f>
        <v>14.4</v>
      </c>
      <c r="M17" s="26" t="n">
        <f aca="false">L17-I17</f>
        <v>4.2</v>
      </c>
    </row>
    <row r="18" customFormat="false" ht="15" hidden="false" customHeight="false" outlineLevel="0" collapsed="false">
      <c r="A18" s="15" t="n">
        <v>13</v>
      </c>
      <c r="B18" s="15" t="s">
        <v>75</v>
      </c>
      <c r="C18" s="19" t="s">
        <v>76</v>
      </c>
      <c r="D18" s="15" t="s">
        <v>33</v>
      </c>
      <c r="E18" s="20" t="n">
        <v>163</v>
      </c>
      <c r="F18" s="20" t="n">
        <v>185</v>
      </c>
      <c r="G18" s="20" t="n">
        <v>348</v>
      </c>
      <c r="H18" s="16" t="n">
        <v>47</v>
      </c>
      <c r="I18" s="16" t="n">
        <f aca="false">IF(H18&gt;=75,20,ROUND(H18/75*10,1)*2)</f>
        <v>12.6</v>
      </c>
      <c r="J18" s="17" t="n">
        <f aca="false">(E18+Summary!$G$11)/(G18+Summary!$G$11)</f>
        <v>0.607218683651805</v>
      </c>
      <c r="K18" s="18" t="n">
        <f aca="false">J18*100-H18</f>
        <v>13.7218683651805</v>
      </c>
      <c r="L18" s="16" t="n">
        <f aca="false">IF(J18&gt;=0.75,20,ROUND(J18*100/75*10,1)*2)</f>
        <v>16.2</v>
      </c>
      <c r="M18" s="18" t="n">
        <f aca="false">L18-I18</f>
        <v>3.6</v>
      </c>
    </row>
    <row r="19" customFormat="false" ht="15" hidden="false" customHeight="false" outlineLevel="0" collapsed="false">
      <c r="A19" s="21" t="n">
        <v>14</v>
      </c>
      <c r="B19" s="21" t="s">
        <v>77</v>
      </c>
      <c r="C19" s="22" t="s">
        <v>78</v>
      </c>
      <c r="D19" s="21" t="s">
        <v>33</v>
      </c>
      <c r="E19" s="23" t="n">
        <v>169</v>
      </c>
      <c r="F19" s="23" t="n">
        <v>179</v>
      </c>
      <c r="G19" s="23" t="n">
        <v>348</v>
      </c>
      <c r="H19" s="24" t="n">
        <v>49</v>
      </c>
      <c r="I19" s="24" t="n">
        <f aca="false">IF(H19&gt;=75,20,ROUND(H19/75*10,1)*2)</f>
        <v>13</v>
      </c>
      <c r="J19" s="25" t="n">
        <f aca="false">(E19+Summary!$G$11)/(G19+Summary!$G$11)</f>
        <v>0.619957537154989</v>
      </c>
      <c r="K19" s="26" t="n">
        <f aca="false">J19*100-H19</f>
        <v>12.9957537154989</v>
      </c>
      <c r="L19" s="24" t="n">
        <f aca="false">IF(J19&gt;=0.75,20,ROUND(J19*100/75*10,1)*2)</f>
        <v>16.6</v>
      </c>
      <c r="M19" s="26" t="n">
        <f aca="false">L19-I19</f>
        <v>3.6</v>
      </c>
    </row>
    <row r="20" customFormat="false" ht="15" hidden="false" customHeight="false" outlineLevel="0" collapsed="false">
      <c r="A20" s="15" t="n">
        <v>15</v>
      </c>
      <c r="B20" s="15" t="s">
        <v>79</v>
      </c>
      <c r="C20" s="19" t="s">
        <v>80</v>
      </c>
      <c r="D20" s="15" t="s">
        <v>33</v>
      </c>
      <c r="E20" s="20" t="n">
        <v>181</v>
      </c>
      <c r="F20" s="20" t="n">
        <v>167</v>
      </c>
      <c r="G20" s="20" t="n">
        <v>348</v>
      </c>
      <c r="H20" s="16" t="n">
        <v>52</v>
      </c>
      <c r="I20" s="16" t="n">
        <f aca="false">IF(H20&gt;=75,20,ROUND(H20/75*10,1)*2)</f>
        <v>13.8</v>
      </c>
      <c r="J20" s="17" t="n">
        <f aca="false">(E20+Summary!$G$11)/(G20+Summary!$G$11)</f>
        <v>0.645435244161359</v>
      </c>
      <c r="K20" s="18" t="n">
        <f aca="false">J20*100-H20</f>
        <v>12.5435244161359</v>
      </c>
      <c r="L20" s="16" t="n">
        <f aca="false">IF(J20&gt;=0.75,20,ROUND(J20*100/75*10,1)*2)</f>
        <v>17.2</v>
      </c>
      <c r="M20" s="18" t="n">
        <f aca="false">L20-I20</f>
        <v>3.4</v>
      </c>
    </row>
    <row r="21" customFormat="false" ht="15" hidden="false" customHeight="false" outlineLevel="0" collapsed="false">
      <c r="A21" s="21" t="n">
        <v>16</v>
      </c>
      <c r="B21" s="21" t="s">
        <v>81</v>
      </c>
      <c r="C21" s="22" t="s">
        <v>82</v>
      </c>
      <c r="D21" s="21" t="s">
        <v>33</v>
      </c>
      <c r="E21" s="23" t="n">
        <v>185</v>
      </c>
      <c r="F21" s="23" t="n">
        <v>163</v>
      </c>
      <c r="G21" s="23" t="n">
        <v>348</v>
      </c>
      <c r="H21" s="24" t="n">
        <v>53</v>
      </c>
      <c r="I21" s="24" t="n">
        <f aca="false">IF(H21&gt;=75,20,ROUND(H21/75*10,1)*2)</f>
        <v>14.2</v>
      </c>
      <c r="J21" s="25" t="n">
        <f aca="false">(E21+Summary!$G$11)/(G21+Summary!$G$11)</f>
        <v>0.653927813163482</v>
      </c>
      <c r="K21" s="26" t="n">
        <f aca="false">J21*100-H21</f>
        <v>12.3927813163482</v>
      </c>
      <c r="L21" s="24" t="n">
        <f aca="false">IF(J21&gt;=0.75,20,ROUND(J21*100/75*10,1)*2)</f>
        <v>17.4</v>
      </c>
      <c r="M21" s="26" t="n">
        <f aca="false">L21-I21</f>
        <v>3.2</v>
      </c>
    </row>
    <row r="22" customFormat="false" ht="15" hidden="false" customHeight="false" outlineLevel="0" collapsed="false">
      <c r="A22" s="15" t="n">
        <v>17</v>
      </c>
      <c r="B22" s="15" t="s">
        <v>83</v>
      </c>
      <c r="C22" s="19" t="s">
        <v>84</v>
      </c>
      <c r="D22" s="15" t="s">
        <v>33</v>
      </c>
      <c r="E22" s="20" t="n">
        <v>195</v>
      </c>
      <c r="F22" s="20" t="n">
        <v>153</v>
      </c>
      <c r="G22" s="20" t="n">
        <v>348</v>
      </c>
      <c r="H22" s="16" t="n">
        <v>56</v>
      </c>
      <c r="I22" s="16" t="n">
        <f aca="false">IF(H22&gt;=75,20,ROUND(H22/75*10,1)*2)</f>
        <v>15</v>
      </c>
      <c r="J22" s="17" t="n">
        <f aca="false">(E22+Summary!$G$11)/(G22+Summary!$G$11)</f>
        <v>0.67515923566879</v>
      </c>
      <c r="K22" s="18" t="n">
        <f aca="false">J22*100-H22</f>
        <v>11.515923566879</v>
      </c>
      <c r="L22" s="16" t="n">
        <f aca="false">IF(J22&gt;=0.75,20,ROUND(J22*100/75*10,1)*2)</f>
        <v>18</v>
      </c>
      <c r="M22" s="18" t="n">
        <f aca="false">L22-I22</f>
        <v>3</v>
      </c>
    </row>
    <row r="23" customFormat="false" ht="15" hidden="false" customHeight="false" outlineLevel="0" collapsed="false">
      <c r="A23" s="21" t="n">
        <v>18</v>
      </c>
      <c r="B23" s="21" t="s">
        <v>85</v>
      </c>
      <c r="C23" s="22" t="s">
        <v>86</v>
      </c>
      <c r="D23" s="21" t="s">
        <v>33</v>
      </c>
      <c r="E23" s="23" t="n">
        <v>200</v>
      </c>
      <c r="F23" s="23" t="n">
        <v>148</v>
      </c>
      <c r="G23" s="23" t="n">
        <v>348</v>
      </c>
      <c r="H23" s="24" t="n">
        <v>57</v>
      </c>
      <c r="I23" s="24" t="n">
        <f aca="false">IF(H23&gt;=75,20,ROUND(H23/75*10,1)*2)</f>
        <v>15.2</v>
      </c>
      <c r="J23" s="25" t="n">
        <f aca="false">(E23+Summary!$G$11)/(G23+Summary!$G$11)</f>
        <v>0.685774946921444</v>
      </c>
      <c r="K23" s="26" t="n">
        <f aca="false">J23*100-H23</f>
        <v>11.5774946921444</v>
      </c>
      <c r="L23" s="24" t="n">
        <f aca="false">IF(J23&gt;=0.75,20,ROUND(J23*100/75*10,1)*2)</f>
        <v>18.2</v>
      </c>
      <c r="M23" s="26" t="n">
        <f aca="false">L23-I23</f>
        <v>3</v>
      </c>
    </row>
    <row r="24" customFormat="false" ht="15" hidden="false" customHeight="false" outlineLevel="0" collapsed="false">
      <c r="A24" s="15" t="n">
        <v>19</v>
      </c>
      <c r="B24" s="15" t="s">
        <v>87</v>
      </c>
      <c r="C24" s="19" t="s">
        <v>88</v>
      </c>
      <c r="D24" s="15" t="s">
        <v>33</v>
      </c>
      <c r="E24" s="20" t="n">
        <v>212</v>
      </c>
      <c r="F24" s="20" t="n">
        <v>136</v>
      </c>
      <c r="G24" s="20" t="n">
        <v>348</v>
      </c>
      <c r="H24" s="16" t="n">
        <v>61</v>
      </c>
      <c r="I24" s="16" t="n">
        <f aca="false">IF(H24&gt;=75,20,ROUND(H24/75*10,1)*2)</f>
        <v>16.2</v>
      </c>
      <c r="J24" s="17" t="n">
        <f aca="false">(E24+Summary!$G$11)/(G24+Summary!$G$11)</f>
        <v>0.711252653927813</v>
      </c>
      <c r="K24" s="18" t="n">
        <f aca="false">J24*100-H24</f>
        <v>10.1252653927813</v>
      </c>
      <c r="L24" s="16" t="n">
        <f aca="false">IF(J24&gt;=0.75,20,ROUND(J24*100/75*10,1)*2)</f>
        <v>19</v>
      </c>
      <c r="M24" s="18" t="n">
        <f aca="false">L24-I24</f>
        <v>2.8</v>
      </c>
    </row>
    <row r="25" customFormat="false" ht="15" hidden="false" customHeight="false" outlineLevel="0" collapsed="false">
      <c r="A25" s="21" t="n">
        <v>20</v>
      </c>
      <c r="B25" s="21" t="s">
        <v>89</v>
      </c>
      <c r="C25" s="22" t="s">
        <v>90</v>
      </c>
      <c r="D25" s="21" t="s">
        <v>33</v>
      </c>
      <c r="E25" s="23" t="n">
        <v>213</v>
      </c>
      <c r="F25" s="23" t="n">
        <v>135</v>
      </c>
      <c r="G25" s="23" t="n">
        <v>348</v>
      </c>
      <c r="H25" s="24" t="n">
        <v>61</v>
      </c>
      <c r="I25" s="24" t="n">
        <f aca="false">IF(H25&gt;=75,20,ROUND(H25/75*10,1)*2)</f>
        <v>16.2</v>
      </c>
      <c r="J25" s="25" t="n">
        <f aca="false">(E25+Summary!$G$11)/(G25+Summary!$G$11)</f>
        <v>0.713375796178344</v>
      </c>
      <c r="K25" s="26" t="n">
        <f aca="false">J25*100-H25</f>
        <v>10.3375796178344</v>
      </c>
      <c r="L25" s="24" t="n">
        <f aca="false">IF(J25&gt;=0.75,20,ROUND(J25*100/75*10,1)*2)</f>
        <v>19</v>
      </c>
      <c r="M25" s="26" t="n">
        <f aca="false">L25-I25</f>
        <v>2.8</v>
      </c>
    </row>
    <row r="26" customFormat="false" ht="15" hidden="false" customHeight="false" outlineLevel="0" collapsed="false">
      <c r="A26" s="15" t="n">
        <v>21</v>
      </c>
      <c r="B26" s="15" t="s">
        <v>91</v>
      </c>
      <c r="C26" s="19" t="s">
        <v>92</v>
      </c>
      <c r="D26" s="15" t="s">
        <v>33</v>
      </c>
      <c r="E26" s="20" t="n">
        <v>215</v>
      </c>
      <c r="F26" s="20" t="n">
        <v>133</v>
      </c>
      <c r="G26" s="20" t="n">
        <v>348</v>
      </c>
      <c r="H26" s="16" t="n">
        <v>62</v>
      </c>
      <c r="I26" s="16" t="n">
        <f aca="false">IF(H26&gt;=75,20,ROUND(H26/75*10,1)*2)</f>
        <v>16.6</v>
      </c>
      <c r="J26" s="17" t="n">
        <f aca="false">(E26+Summary!$G$11)/(G26+Summary!$G$11)</f>
        <v>0.717622080679406</v>
      </c>
      <c r="K26" s="18" t="n">
        <f aca="false">J26*100-H26</f>
        <v>9.76220806794055</v>
      </c>
      <c r="L26" s="16" t="n">
        <f aca="false">IF(J26&gt;=0.75,20,ROUND(J26*100/75*10,1)*2)</f>
        <v>19.2</v>
      </c>
      <c r="M26" s="18" t="n">
        <f aca="false">L26-I26</f>
        <v>2.6</v>
      </c>
    </row>
    <row r="27" customFormat="false" ht="15" hidden="false" customHeight="false" outlineLevel="0" collapsed="false">
      <c r="A27" s="21" t="n">
        <v>22</v>
      </c>
      <c r="B27" s="21" t="s">
        <v>93</v>
      </c>
      <c r="C27" s="22" t="s">
        <v>94</v>
      </c>
      <c r="D27" s="21" t="s">
        <v>33</v>
      </c>
      <c r="E27" s="23" t="n">
        <v>215</v>
      </c>
      <c r="F27" s="23" t="n">
        <v>133</v>
      </c>
      <c r="G27" s="23" t="n">
        <v>348</v>
      </c>
      <c r="H27" s="24" t="n">
        <v>62</v>
      </c>
      <c r="I27" s="24" t="n">
        <f aca="false">IF(H27&gt;=75,20,ROUND(H27/75*10,1)*2)</f>
        <v>16.6</v>
      </c>
      <c r="J27" s="25" t="n">
        <f aca="false">(E27+Summary!$G$11)/(G27+Summary!$G$11)</f>
        <v>0.717622080679406</v>
      </c>
      <c r="K27" s="26" t="n">
        <f aca="false">J27*100-H27</f>
        <v>9.76220806794055</v>
      </c>
      <c r="L27" s="24" t="n">
        <f aca="false">IF(J27&gt;=0.75,20,ROUND(J27*100/75*10,1)*2)</f>
        <v>19.2</v>
      </c>
      <c r="M27" s="26" t="n">
        <f aca="false">L27-I27</f>
        <v>2.6</v>
      </c>
    </row>
    <row r="28" customFormat="false" ht="15" hidden="false" customHeight="false" outlineLevel="0" collapsed="false">
      <c r="A28" s="15" t="n">
        <v>23</v>
      </c>
      <c r="B28" s="15" t="s">
        <v>95</v>
      </c>
      <c r="C28" s="19" t="s">
        <v>96</v>
      </c>
      <c r="D28" s="15" t="s">
        <v>33</v>
      </c>
      <c r="E28" s="20" t="n">
        <v>219</v>
      </c>
      <c r="F28" s="20" t="n">
        <v>129</v>
      </c>
      <c r="G28" s="20" t="n">
        <v>348</v>
      </c>
      <c r="H28" s="16" t="n">
        <v>63</v>
      </c>
      <c r="I28" s="16" t="n">
        <f aca="false">IF(H28&gt;=75,20,ROUND(H28/75*10,1)*2)</f>
        <v>16.8</v>
      </c>
      <c r="J28" s="17" t="n">
        <f aca="false">(E28+Summary!$G$11)/(G28+Summary!$G$11)</f>
        <v>0.726114649681529</v>
      </c>
      <c r="K28" s="18" t="n">
        <f aca="false">J28*100-H28</f>
        <v>9.61146496815286</v>
      </c>
      <c r="L28" s="16" t="n">
        <f aca="false">IF(J28&gt;=0.75,20,ROUND(J28*100/75*10,1)*2)</f>
        <v>19.4</v>
      </c>
      <c r="M28" s="18" t="n">
        <f aca="false">L28-I28</f>
        <v>2.6</v>
      </c>
    </row>
    <row r="29" customFormat="false" ht="15" hidden="false" customHeight="false" outlineLevel="0" collapsed="false">
      <c r="A29" s="21" t="n">
        <v>24</v>
      </c>
      <c r="B29" s="21" t="s">
        <v>97</v>
      </c>
      <c r="C29" s="22" t="s">
        <v>98</v>
      </c>
      <c r="D29" s="21" t="s">
        <v>33</v>
      </c>
      <c r="E29" s="23" t="n">
        <v>223</v>
      </c>
      <c r="F29" s="23" t="n">
        <v>125</v>
      </c>
      <c r="G29" s="23" t="n">
        <v>348</v>
      </c>
      <c r="H29" s="24" t="n">
        <v>64</v>
      </c>
      <c r="I29" s="24" t="n">
        <f aca="false">IF(H29&gt;=75,20,ROUND(H29/75*10,1)*2)</f>
        <v>17</v>
      </c>
      <c r="J29" s="25" t="n">
        <f aca="false">(E29+Summary!$G$11)/(G29+Summary!$G$11)</f>
        <v>0.734607218683652</v>
      </c>
      <c r="K29" s="26" t="n">
        <f aca="false">J29*100-H29</f>
        <v>9.46072186836517</v>
      </c>
      <c r="L29" s="24" t="n">
        <f aca="false">IF(J29&gt;=0.75,20,ROUND(J29*100/75*10,1)*2)</f>
        <v>19.6</v>
      </c>
      <c r="M29" s="26" t="n">
        <f aca="false">L29-I29</f>
        <v>2.6</v>
      </c>
    </row>
    <row r="30" customFormat="false" ht="15" hidden="false" customHeight="false" outlineLevel="0" collapsed="false">
      <c r="A30" s="15" t="n">
        <v>25</v>
      </c>
      <c r="B30" s="15" t="s">
        <v>99</v>
      </c>
      <c r="C30" s="19" t="s">
        <v>100</v>
      </c>
      <c r="D30" s="15" t="s">
        <v>33</v>
      </c>
      <c r="E30" s="20" t="n">
        <v>228</v>
      </c>
      <c r="F30" s="20" t="n">
        <v>120</v>
      </c>
      <c r="G30" s="20" t="n">
        <v>348</v>
      </c>
      <c r="H30" s="16" t="n">
        <v>66</v>
      </c>
      <c r="I30" s="16" t="n">
        <f aca="false">IF(H30&gt;=75,20,ROUND(H30/75*10,1)*2)</f>
        <v>17.6</v>
      </c>
      <c r="J30" s="17" t="n">
        <f aca="false">(E30+Summary!$G$11)/(G30+Summary!$G$11)</f>
        <v>0.745222929936306</v>
      </c>
      <c r="K30" s="18" t="n">
        <f aca="false">J30*100-H30</f>
        <v>8.52229299363057</v>
      </c>
      <c r="L30" s="16" t="n">
        <f aca="false">IF(J30&gt;=0.75,20,ROUND(J30*100/75*10,1)*2)</f>
        <v>19.8</v>
      </c>
      <c r="M30" s="18" t="n">
        <f aca="false">L30-I30</f>
        <v>2.2</v>
      </c>
    </row>
    <row r="31" customFormat="false" ht="15" hidden="false" customHeight="false" outlineLevel="0" collapsed="false">
      <c r="A31" s="21" t="n">
        <v>26</v>
      </c>
      <c r="B31" s="21" t="s">
        <v>101</v>
      </c>
      <c r="C31" s="22" t="s">
        <v>102</v>
      </c>
      <c r="D31" s="21" t="s">
        <v>33</v>
      </c>
      <c r="E31" s="23" t="n">
        <v>229</v>
      </c>
      <c r="F31" s="23" t="n">
        <v>119</v>
      </c>
      <c r="G31" s="23" t="n">
        <v>348</v>
      </c>
      <c r="H31" s="24" t="n">
        <v>66</v>
      </c>
      <c r="I31" s="24" t="n">
        <f aca="false">IF(H31&gt;=75,20,ROUND(H31/75*10,1)*2)</f>
        <v>17.6</v>
      </c>
      <c r="J31" s="25" t="n">
        <f aca="false">(E31+Summary!$G$11)/(G31+Summary!$G$11)</f>
        <v>0.747346072186837</v>
      </c>
      <c r="K31" s="26" t="n">
        <f aca="false">J31*100-H31</f>
        <v>8.73460721868365</v>
      </c>
      <c r="L31" s="24" t="n">
        <f aca="false">IF(J31&gt;=0.75,20,ROUND(J31*100/75*10,1)*2)</f>
        <v>20</v>
      </c>
      <c r="M31" s="26" t="n">
        <f aca="false">L31-I31</f>
        <v>2.4</v>
      </c>
    </row>
    <row r="32" customFormat="false" ht="15" hidden="false" customHeight="false" outlineLevel="0" collapsed="false">
      <c r="A32" s="15" t="n">
        <v>27</v>
      </c>
      <c r="B32" s="15" t="s">
        <v>103</v>
      </c>
      <c r="C32" s="19" t="s">
        <v>104</v>
      </c>
      <c r="D32" s="15" t="s">
        <v>33</v>
      </c>
      <c r="E32" s="20" t="n">
        <v>232</v>
      </c>
      <c r="F32" s="20" t="n">
        <v>116</v>
      </c>
      <c r="G32" s="20" t="n">
        <v>348</v>
      </c>
      <c r="H32" s="16" t="n">
        <v>67</v>
      </c>
      <c r="I32" s="16" t="n">
        <f aca="false">IF(H32&gt;=75,20,ROUND(H32/75*10,1)*2)</f>
        <v>17.8</v>
      </c>
      <c r="J32" s="17" t="n">
        <f aca="false">(E32+Summary!$G$11)/(G32+Summary!$G$11)</f>
        <v>0.753715498938429</v>
      </c>
      <c r="K32" s="18" t="n">
        <f aca="false">J32*100-H32</f>
        <v>8.3715498938429</v>
      </c>
      <c r="L32" s="16" t="n">
        <f aca="false">IF(J32&gt;=0.75,20,ROUND(J32*100/75*10,1)*2)</f>
        <v>20</v>
      </c>
      <c r="M32" s="18" t="n">
        <f aca="false">L32-I32</f>
        <v>2.2</v>
      </c>
    </row>
    <row r="33" customFormat="false" ht="15" hidden="false" customHeight="false" outlineLevel="0" collapsed="false">
      <c r="A33" s="21" t="n">
        <v>28</v>
      </c>
      <c r="B33" s="21" t="s">
        <v>105</v>
      </c>
      <c r="C33" s="22" t="s">
        <v>106</v>
      </c>
      <c r="D33" s="21" t="s">
        <v>33</v>
      </c>
      <c r="E33" s="23" t="n">
        <v>238</v>
      </c>
      <c r="F33" s="23" t="n">
        <v>110</v>
      </c>
      <c r="G33" s="23" t="n">
        <v>348</v>
      </c>
      <c r="H33" s="24" t="n">
        <v>68</v>
      </c>
      <c r="I33" s="24" t="n">
        <f aca="false">IF(H33&gt;=75,20,ROUND(H33/75*10,1)*2)</f>
        <v>18.2</v>
      </c>
      <c r="J33" s="25" t="n">
        <f aca="false">(E33+Summary!$G$11)/(G33+Summary!$G$11)</f>
        <v>0.766454352441614</v>
      </c>
      <c r="K33" s="26" t="n">
        <f aca="false">J33*100-H33</f>
        <v>8.64543524416136</v>
      </c>
      <c r="L33" s="24" t="n">
        <f aca="false">IF(J33&gt;=0.75,20,ROUND(J33*100/75*10,1)*2)</f>
        <v>20</v>
      </c>
      <c r="M33" s="26" t="n">
        <f aca="false">L33-I33</f>
        <v>1.8</v>
      </c>
    </row>
    <row r="34" customFormat="false" ht="15" hidden="false" customHeight="false" outlineLevel="0" collapsed="false">
      <c r="A34" s="15" t="n">
        <v>29</v>
      </c>
      <c r="B34" s="15" t="s">
        <v>107</v>
      </c>
      <c r="C34" s="19" t="s">
        <v>108</v>
      </c>
      <c r="D34" s="15" t="s">
        <v>33</v>
      </c>
      <c r="E34" s="20" t="n">
        <v>241</v>
      </c>
      <c r="F34" s="20" t="n">
        <v>107</v>
      </c>
      <c r="G34" s="20" t="n">
        <v>348</v>
      </c>
      <c r="H34" s="16" t="n">
        <v>69</v>
      </c>
      <c r="I34" s="16" t="n">
        <f aca="false">IF(H34&gt;=75,20,ROUND(H34/75*10,1)*2)</f>
        <v>18.4</v>
      </c>
      <c r="J34" s="17" t="n">
        <f aca="false">(E34+Summary!$G$11)/(G34+Summary!$G$11)</f>
        <v>0.772823779193206</v>
      </c>
      <c r="K34" s="18" t="n">
        <f aca="false">J34*100-H34</f>
        <v>8.2823779193206</v>
      </c>
      <c r="L34" s="16" t="n">
        <f aca="false">IF(J34&gt;=0.75,20,ROUND(J34*100/75*10,1)*2)</f>
        <v>20</v>
      </c>
      <c r="M34" s="18" t="n">
        <f aca="false">L34-I34</f>
        <v>1.6</v>
      </c>
    </row>
    <row r="35" customFormat="false" ht="15" hidden="false" customHeight="false" outlineLevel="0" collapsed="false">
      <c r="A35" s="21" t="n">
        <v>30</v>
      </c>
      <c r="B35" s="21" t="s">
        <v>109</v>
      </c>
      <c r="C35" s="22" t="s">
        <v>110</v>
      </c>
      <c r="D35" s="21" t="s">
        <v>33</v>
      </c>
      <c r="E35" s="23" t="n">
        <v>242</v>
      </c>
      <c r="F35" s="23" t="n">
        <v>106</v>
      </c>
      <c r="G35" s="23" t="n">
        <v>348</v>
      </c>
      <c r="H35" s="24" t="n">
        <v>70</v>
      </c>
      <c r="I35" s="24" t="n">
        <f aca="false">IF(H35&gt;=75,20,ROUND(H35/75*10,1)*2)</f>
        <v>18.6</v>
      </c>
      <c r="J35" s="25" t="n">
        <f aca="false">(E35+Summary!$G$11)/(G35+Summary!$G$11)</f>
        <v>0.774946921443737</v>
      </c>
      <c r="K35" s="26" t="n">
        <f aca="false">J35*100-H35</f>
        <v>7.49469214437367</v>
      </c>
      <c r="L35" s="24" t="n">
        <f aca="false">IF(J35&gt;=0.75,20,ROUND(J35*100/75*10,1)*2)</f>
        <v>20</v>
      </c>
      <c r="M35" s="26" t="n">
        <f aca="false">L35-I35</f>
        <v>1.4</v>
      </c>
    </row>
    <row r="36" customFormat="false" ht="15" hidden="false" customHeight="false" outlineLevel="0" collapsed="false">
      <c r="A36" s="15" t="n">
        <v>31</v>
      </c>
      <c r="B36" s="15" t="s">
        <v>111</v>
      </c>
      <c r="C36" s="19" t="s">
        <v>112</v>
      </c>
      <c r="D36" s="15" t="s">
        <v>33</v>
      </c>
      <c r="E36" s="20" t="n">
        <v>248</v>
      </c>
      <c r="F36" s="20" t="n">
        <v>100</v>
      </c>
      <c r="G36" s="20" t="n">
        <v>348</v>
      </c>
      <c r="H36" s="16" t="n">
        <v>71</v>
      </c>
      <c r="I36" s="16" t="n">
        <f aca="false">IF(H36&gt;=75,20,ROUND(H36/75*10,1)*2)</f>
        <v>19</v>
      </c>
      <c r="J36" s="17" t="n">
        <f aca="false">(E36+Summary!$G$11)/(G36+Summary!$G$11)</f>
        <v>0.787685774946922</v>
      </c>
      <c r="K36" s="18" t="n">
        <f aca="false">J36*100-H36</f>
        <v>7.76857749469215</v>
      </c>
      <c r="L36" s="16" t="n">
        <f aca="false">IF(J36&gt;=0.75,20,ROUND(J36*100/75*10,1)*2)</f>
        <v>20</v>
      </c>
      <c r="M36" s="18" t="n">
        <f aca="false">L36-I36</f>
        <v>1</v>
      </c>
    </row>
    <row r="37" customFormat="false" ht="15" hidden="false" customHeight="false" outlineLevel="0" collapsed="false">
      <c r="A37" s="21" t="n">
        <v>32</v>
      </c>
      <c r="B37" s="21" t="s">
        <v>113</v>
      </c>
      <c r="C37" s="22" t="s">
        <v>114</v>
      </c>
      <c r="D37" s="21" t="s">
        <v>33</v>
      </c>
      <c r="E37" s="23" t="n">
        <v>251</v>
      </c>
      <c r="F37" s="23" t="n">
        <v>97</v>
      </c>
      <c r="G37" s="23" t="n">
        <v>348</v>
      </c>
      <c r="H37" s="24" t="n">
        <v>72</v>
      </c>
      <c r="I37" s="24" t="n">
        <f aca="false">IF(H37&gt;=75,20,ROUND(H37/75*10,1)*2)</f>
        <v>19.2</v>
      </c>
      <c r="J37" s="25" t="n">
        <f aca="false">(E37+Summary!$G$11)/(G37+Summary!$G$11)</f>
        <v>0.794055201698514</v>
      </c>
      <c r="K37" s="26" t="n">
        <f aca="false">J37*100-H37</f>
        <v>7.40552016985139</v>
      </c>
      <c r="L37" s="24" t="n">
        <f aca="false">IF(J37&gt;=0.75,20,ROUND(J37*100/75*10,1)*2)</f>
        <v>20</v>
      </c>
      <c r="M37" s="26" t="n">
        <f aca="false">L37-I37</f>
        <v>0.800000000000001</v>
      </c>
    </row>
    <row r="38" customFormat="false" ht="15" hidden="false" customHeight="false" outlineLevel="0" collapsed="false">
      <c r="A38" s="15" t="n">
        <v>33</v>
      </c>
      <c r="B38" s="15" t="s">
        <v>115</v>
      </c>
      <c r="C38" s="19" t="s">
        <v>116</v>
      </c>
      <c r="D38" s="15" t="s">
        <v>33</v>
      </c>
      <c r="E38" s="20" t="n">
        <v>249</v>
      </c>
      <c r="F38" s="20" t="n">
        <v>99</v>
      </c>
      <c r="G38" s="20" t="n">
        <v>348</v>
      </c>
      <c r="H38" s="16" t="n">
        <v>72</v>
      </c>
      <c r="I38" s="16" t="n">
        <f aca="false">IF(H38&gt;=75,20,ROUND(H38/75*10,1)*2)</f>
        <v>19.2</v>
      </c>
      <c r="J38" s="17" t="n">
        <f aca="false">(E38+Summary!$G$11)/(G38+Summary!$G$11)</f>
        <v>0.789808917197452</v>
      </c>
      <c r="K38" s="18" t="n">
        <f aca="false">J38*100-H38</f>
        <v>6.98089171974523</v>
      </c>
      <c r="L38" s="16" t="n">
        <f aca="false">IF(J38&gt;=0.75,20,ROUND(J38*100/75*10,1)*2)</f>
        <v>20</v>
      </c>
      <c r="M38" s="18" t="n">
        <f aca="false">L38-I38</f>
        <v>0.800000000000001</v>
      </c>
    </row>
    <row r="39" customFormat="false" ht="15" hidden="false" customHeight="false" outlineLevel="0" collapsed="false">
      <c r="A39" s="21" t="n">
        <v>34</v>
      </c>
      <c r="B39" s="21" t="s">
        <v>117</v>
      </c>
      <c r="C39" s="22" t="s">
        <v>118</v>
      </c>
      <c r="D39" s="21" t="s">
        <v>33</v>
      </c>
      <c r="E39" s="23" t="n">
        <v>250</v>
      </c>
      <c r="F39" s="23" t="n">
        <v>98</v>
      </c>
      <c r="G39" s="23" t="n">
        <v>348</v>
      </c>
      <c r="H39" s="24" t="n">
        <v>72</v>
      </c>
      <c r="I39" s="24" t="n">
        <f aca="false">IF(H39&gt;=75,20,ROUND(H39/75*10,1)*2)</f>
        <v>19.2</v>
      </c>
      <c r="J39" s="25" t="n">
        <f aca="false">(E39+Summary!$G$11)/(G39+Summary!$G$11)</f>
        <v>0.791932059447983</v>
      </c>
      <c r="K39" s="26" t="n">
        <f aca="false">J39*100-H39</f>
        <v>7.19320594479831</v>
      </c>
      <c r="L39" s="24" t="n">
        <f aca="false">IF(J39&gt;=0.75,20,ROUND(J39*100/75*10,1)*2)</f>
        <v>20</v>
      </c>
      <c r="M39" s="26" t="n">
        <f aca="false">L39-I39</f>
        <v>0.800000000000001</v>
      </c>
    </row>
    <row r="40" customFormat="false" ht="15" hidden="false" customHeight="false" outlineLevel="0" collapsed="false">
      <c r="A40" s="15" t="n">
        <v>35</v>
      </c>
      <c r="B40" s="15" t="s">
        <v>119</v>
      </c>
      <c r="C40" s="19" t="s">
        <v>120</v>
      </c>
      <c r="D40" s="15" t="s">
        <v>33</v>
      </c>
      <c r="E40" s="20" t="n">
        <v>252</v>
      </c>
      <c r="F40" s="20" t="n">
        <v>96</v>
      </c>
      <c r="G40" s="20" t="n">
        <v>348</v>
      </c>
      <c r="H40" s="16" t="n">
        <v>72</v>
      </c>
      <c r="I40" s="16" t="n">
        <f aca="false">IF(H40&gt;=75,20,ROUND(H40/75*10,1)*2)</f>
        <v>19.2</v>
      </c>
      <c r="J40" s="17" t="n">
        <f aca="false">(E40+Summary!$G$11)/(G40+Summary!$G$11)</f>
        <v>0.796178343949045</v>
      </c>
      <c r="K40" s="18" t="n">
        <f aca="false">J40*100-H40</f>
        <v>7.61783439490446</v>
      </c>
      <c r="L40" s="16" t="n">
        <f aca="false">IF(J40&gt;=0.75,20,ROUND(J40*100/75*10,1)*2)</f>
        <v>20</v>
      </c>
      <c r="M40" s="18" t="n">
        <f aca="false">L40-I40</f>
        <v>0.800000000000001</v>
      </c>
    </row>
    <row r="41" customFormat="false" ht="15" hidden="false" customHeight="false" outlineLevel="0" collapsed="false">
      <c r="A41" s="21" t="n">
        <v>36</v>
      </c>
      <c r="B41" s="21" t="s">
        <v>121</v>
      </c>
      <c r="C41" s="22" t="s">
        <v>122</v>
      </c>
      <c r="D41" s="21" t="s">
        <v>33</v>
      </c>
      <c r="E41" s="23" t="n">
        <v>252</v>
      </c>
      <c r="F41" s="23" t="n">
        <v>96</v>
      </c>
      <c r="G41" s="23" t="n">
        <v>348</v>
      </c>
      <c r="H41" s="24" t="n">
        <v>72</v>
      </c>
      <c r="I41" s="24" t="n">
        <f aca="false">IF(H41&gt;=75,20,ROUND(H41/75*10,1)*2)</f>
        <v>19.2</v>
      </c>
      <c r="J41" s="25" t="n">
        <f aca="false">(E41+Summary!$G$11)/(G41+Summary!$G$11)</f>
        <v>0.796178343949045</v>
      </c>
      <c r="K41" s="26" t="n">
        <f aca="false">J41*100-H41</f>
        <v>7.61783439490446</v>
      </c>
      <c r="L41" s="24" t="n">
        <f aca="false">IF(J41&gt;=0.75,20,ROUND(J41*100/75*10,1)*2)</f>
        <v>20</v>
      </c>
      <c r="M41" s="26" t="n">
        <f aca="false">L41-I41</f>
        <v>0.800000000000001</v>
      </c>
    </row>
    <row r="42" customFormat="false" ht="15" hidden="false" customHeight="false" outlineLevel="0" collapsed="false">
      <c r="A42" s="15" t="n">
        <v>37</v>
      </c>
      <c r="B42" s="15" t="s">
        <v>123</v>
      </c>
      <c r="C42" s="19" t="s">
        <v>124</v>
      </c>
      <c r="D42" s="15" t="s">
        <v>33</v>
      </c>
      <c r="E42" s="20" t="n">
        <v>250</v>
      </c>
      <c r="F42" s="20" t="n">
        <v>98</v>
      </c>
      <c r="G42" s="20" t="n">
        <v>348</v>
      </c>
      <c r="H42" s="16" t="n">
        <v>72</v>
      </c>
      <c r="I42" s="16" t="n">
        <f aca="false">IF(H42&gt;=75,20,ROUND(H42/75*10,1)*2)</f>
        <v>19.2</v>
      </c>
      <c r="J42" s="17" t="n">
        <f aca="false">(E42+Summary!$G$11)/(G42+Summary!$G$11)</f>
        <v>0.791932059447983</v>
      </c>
      <c r="K42" s="18" t="n">
        <f aca="false">J42*100-H42</f>
        <v>7.19320594479831</v>
      </c>
      <c r="L42" s="16" t="n">
        <f aca="false">IF(J42&gt;=0.75,20,ROUND(J42*100/75*10,1)*2)</f>
        <v>20</v>
      </c>
      <c r="M42" s="18" t="n">
        <f aca="false">L42-I42</f>
        <v>0.800000000000001</v>
      </c>
    </row>
    <row r="43" customFormat="false" ht="15" hidden="false" customHeight="false" outlineLevel="0" collapsed="false">
      <c r="A43" s="21" t="n">
        <v>38</v>
      </c>
      <c r="B43" s="21" t="s">
        <v>125</v>
      </c>
      <c r="C43" s="22" t="s">
        <v>126</v>
      </c>
      <c r="D43" s="21" t="s">
        <v>33</v>
      </c>
      <c r="E43" s="23" t="n">
        <v>255</v>
      </c>
      <c r="F43" s="23" t="n">
        <v>93</v>
      </c>
      <c r="G43" s="23" t="n">
        <v>348</v>
      </c>
      <c r="H43" s="24" t="n">
        <v>73</v>
      </c>
      <c r="I43" s="24" t="n">
        <f aca="false">IF(H43&gt;=75,20,ROUND(H43/75*10,1)*2)</f>
        <v>19.4</v>
      </c>
      <c r="J43" s="25" t="n">
        <f aca="false">(E43+Summary!$G$11)/(G43+Summary!$G$11)</f>
        <v>0.802547770700637</v>
      </c>
      <c r="K43" s="26" t="n">
        <f aca="false">J43*100-H43</f>
        <v>7.2547770700637</v>
      </c>
      <c r="L43" s="24" t="n">
        <f aca="false">IF(J43&gt;=0.75,20,ROUND(J43*100/75*10,1)*2)</f>
        <v>20</v>
      </c>
      <c r="M43" s="26" t="n">
        <f aca="false">L43-I43</f>
        <v>0.600000000000001</v>
      </c>
    </row>
    <row r="44" customFormat="false" ht="15" hidden="false" customHeight="false" outlineLevel="0" collapsed="false">
      <c r="A44" s="15" t="n">
        <v>39</v>
      </c>
      <c r="B44" s="15" t="s">
        <v>127</v>
      </c>
      <c r="C44" s="19" t="s">
        <v>128</v>
      </c>
      <c r="D44" s="15" t="s">
        <v>33</v>
      </c>
      <c r="E44" s="20" t="n">
        <v>256</v>
      </c>
      <c r="F44" s="20" t="n">
        <v>92</v>
      </c>
      <c r="G44" s="20" t="n">
        <v>348</v>
      </c>
      <c r="H44" s="16" t="n">
        <v>74</v>
      </c>
      <c r="I44" s="16" t="n">
        <f aca="false">IF(H44&gt;=75,20,ROUND(H44/75*10,1)*2)</f>
        <v>19.8</v>
      </c>
      <c r="J44" s="17" t="n">
        <f aca="false">(E44+Summary!$G$11)/(G44+Summary!$G$11)</f>
        <v>0.804670912951168</v>
      </c>
      <c r="K44" s="18" t="n">
        <f aca="false">J44*100-H44</f>
        <v>6.46709129511677</v>
      </c>
      <c r="L44" s="16" t="n">
        <f aca="false">IF(J44&gt;=0.75,20,ROUND(J44*100/75*10,1)*2)</f>
        <v>20</v>
      </c>
      <c r="M44" s="18" t="n">
        <f aca="false">L44-I44</f>
        <v>0.199999999999999</v>
      </c>
    </row>
    <row r="45" customFormat="false" ht="15" hidden="false" customHeight="false" outlineLevel="0" collapsed="false">
      <c r="A45" s="21" t="n">
        <v>40</v>
      </c>
      <c r="B45" s="21" t="s">
        <v>129</v>
      </c>
      <c r="C45" s="22" t="s">
        <v>130</v>
      </c>
      <c r="D45" s="21" t="s">
        <v>33</v>
      </c>
      <c r="E45" s="23" t="n">
        <v>259</v>
      </c>
      <c r="F45" s="23" t="n">
        <v>89</v>
      </c>
      <c r="G45" s="23" t="n">
        <v>348</v>
      </c>
      <c r="H45" s="24" t="n">
        <v>74</v>
      </c>
      <c r="I45" s="24" t="n">
        <f aca="false">IF(H45&gt;=75,20,ROUND(H45/75*10,1)*2)</f>
        <v>19.8</v>
      </c>
      <c r="J45" s="25" t="n">
        <f aca="false">(E45+Summary!$G$11)/(G45+Summary!$G$11)</f>
        <v>0.81104033970276</v>
      </c>
      <c r="K45" s="26" t="n">
        <f aca="false">J45*100-H45</f>
        <v>7.10403397027601</v>
      </c>
      <c r="L45" s="24" t="n">
        <f aca="false">IF(J45&gt;=0.75,20,ROUND(J45*100/75*10,1)*2)</f>
        <v>20</v>
      </c>
      <c r="M45" s="26" t="n">
        <f aca="false">L45-I45</f>
        <v>0.199999999999999</v>
      </c>
    </row>
    <row r="46" customFormat="false" ht="15" hidden="false" customHeight="false" outlineLevel="0" collapsed="false">
      <c r="A46" s="15" t="n">
        <v>41</v>
      </c>
      <c r="B46" s="15" t="s">
        <v>131</v>
      </c>
      <c r="C46" s="19" t="s">
        <v>132</v>
      </c>
      <c r="D46" s="15" t="s">
        <v>33</v>
      </c>
      <c r="E46" s="20" t="n">
        <v>260</v>
      </c>
      <c r="F46" s="20" t="n">
        <v>88</v>
      </c>
      <c r="G46" s="20" t="n">
        <v>348</v>
      </c>
      <c r="H46" s="16" t="n">
        <v>75</v>
      </c>
      <c r="I46" s="16" t="n">
        <f aca="false">IF(H46&gt;=75,20,ROUND(H46/75*10,1)*2)</f>
        <v>20</v>
      </c>
      <c r="J46" s="17" t="n">
        <f aca="false">(E46+Summary!$G$11)/(G46+Summary!$G$11)</f>
        <v>0.813163481953291</v>
      </c>
      <c r="K46" s="18" t="n">
        <f aca="false">J46*100-H46</f>
        <v>6.31634819532908</v>
      </c>
      <c r="L46" s="16" t="n">
        <f aca="false">IF(J46&gt;=0.75,20,ROUND(J46*100/75*10,1)*2)</f>
        <v>20</v>
      </c>
      <c r="M46" s="18" t="n">
        <f aca="false">L46-I46</f>
        <v>0</v>
      </c>
    </row>
    <row r="47" customFormat="false" ht="15" hidden="false" customHeight="false" outlineLevel="0" collapsed="false">
      <c r="A47" s="21" t="n">
        <v>42</v>
      </c>
      <c r="B47" s="21" t="s">
        <v>133</v>
      </c>
      <c r="C47" s="22" t="s">
        <v>134</v>
      </c>
      <c r="D47" s="21" t="s">
        <v>33</v>
      </c>
      <c r="E47" s="23" t="n">
        <v>262</v>
      </c>
      <c r="F47" s="23" t="n">
        <v>86</v>
      </c>
      <c r="G47" s="23" t="n">
        <v>348</v>
      </c>
      <c r="H47" s="24" t="n">
        <v>75</v>
      </c>
      <c r="I47" s="24" t="n">
        <f aca="false">IF(H47&gt;=75,20,ROUND(H47/75*10,1)*2)</f>
        <v>20</v>
      </c>
      <c r="J47" s="25" t="n">
        <f aca="false">(E47+Summary!$G$11)/(G47+Summary!$G$11)</f>
        <v>0.817409766454353</v>
      </c>
      <c r="K47" s="26" t="n">
        <f aca="false">J47*100-H47</f>
        <v>6.74097664543525</v>
      </c>
      <c r="L47" s="24" t="n">
        <f aca="false">IF(J47&gt;=0.75,20,ROUND(J47*100/75*10,1)*2)</f>
        <v>20</v>
      </c>
      <c r="M47" s="26" t="n">
        <f aca="false">L47-I47</f>
        <v>0</v>
      </c>
    </row>
    <row r="48" customFormat="false" ht="15" hidden="false" customHeight="false" outlineLevel="0" collapsed="false">
      <c r="A48" s="15" t="n">
        <v>43</v>
      </c>
      <c r="B48" s="15" t="s">
        <v>135</v>
      </c>
      <c r="C48" s="19" t="s">
        <v>136</v>
      </c>
      <c r="D48" s="15" t="s">
        <v>33</v>
      </c>
      <c r="E48" s="20" t="n">
        <v>260</v>
      </c>
      <c r="F48" s="20" t="n">
        <v>88</v>
      </c>
      <c r="G48" s="20" t="n">
        <v>348</v>
      </c>
      <c r="H48" s="16" t="n">
        <v>75</v>
      </c>
      <c r="I48" s="16" t="n">
        <f aca="false">IF(H48&gt;=75,20,ROUND(H48/75*10,1)*2)</f>
        <v>20</v>
      </c>
      <c r="J48" s="17" t="n">
        <f aca="false">(E48+Summary!$G$11)/(G48+Summary!$G$11)</f>
        <v>0.813163481953291</v>
      </c>
      <c r="K48" s="18" t="n">
        <f aca="false">J48*100-H48</f>
        <v>6.31634819532908</v>
      </c>
      <c r="L48" s="16" t="n">
        <f aca="false">IF(J48&gt;=0.75,20,ROUND(J48*100/75*10,1)*2)</f>
        <v>20</v>
      </c>
      <c r="M48" s="18" t="n">
        <f aca="false">L48-I48</f>
        <v>0</v>
      </c>
    </row>
    <row r="49" customFormat="false" ht="15" hidden="false" customHeight="false" outlineLevel="0" collapsed="false">
      <c r="A49" s="21" t="n">
        <v>44</v>
      </c>
      <c r="B49" s="21" t="s">
        <v>137</v>
      </c>
      <c r="C49" s="22" t="s">
        <v>138</v>
      </c>
      <c r="D49" s="21" t="s">
        <v>33</v>
      </c>
      <c r="E49" s="23" t="n">
        <v>265</v>
      </c>
      <c r="F49" s="23" t="n">
        <v>83</v>
      </c>
      <c r="G49" s="23" t="n">
        <v>348</v>
      </c>
      <c r="H49" s="24" t="n">
        <v>76</v>
      </c>
      <c r="I49" s="24" t="n">
        <f aca="false">IF(H49&gt;=75,20,ROUND(H49/75*10,1)*2)</f>
        <v>20</v>
      </c>
      <c r="J49" s="25" t="n">
        <f aca="false">(E49+Summary!$G$11)/(G49+Summary!$G$11)</f>
        <v>0.823779193205945</v>
      </c>
      <c r="K49" s="26" t="n">
        <f aca="false">J49*100-H49</f>
        <v>6.37791932059449</v>
      </c>
      <c r="L49" s="24" t="n">
        <f aca="false">IF(J49&gt;=0.75,20,ROUND(J49*100/75*10,1)*2)</f>
        <v>20</v>
      </c>
      <c r="M49" s="26" t="n">
        <f aca="false">L49-I49</f>
        <v>0</v>
      </c>
    </row>
    <row r="50" customFormat="false" ht="15" hidden="false" customHeight="false" outlineLevel="0" collapsed="false">
      <c r="A50" s="15" t="n">
        <v>45</v>
      </c>
      <c r="B50" s="15" t="s">
        <v>139</v>
      </c>
      <c r="C50" s="19" t="s">
        <v>140</v>
      </c>
      <c r="D50" s="15" t="s">
        <v>33</v>
      </c>
      <c r="E50" s="20" t="n">
        <v>265</v>
      </c>
      <c r="F50" s="20" t="n">
        <v>83</v>
      </c>
      <c r="G50" s="20" t="n">
        <v>348</v>
      </c>
      <c r="H50" s="16" t="n">
        <v>76</v>
      </c>
      <c r="I50" s="16" t="n">
        <f aca="false">IF(H50&gt;=75,20,ROUND(H50/75*10,1)*2)</f>
        <v>20</v>
      </c>
      <c r="J50" s="17" t="n">
        <f aca="false">(E50+Summary!$G$11)/(G50+Summary!$G$11)</f>
        <v>0.823779193205945</v>
      </c>
      <c r="K50" s="18" t="n">
        <f aca="false">J50*100-H50</f>
        <v>6.37791932059449</v>
      </c>
      <c r="L50" s="16" t="n">
        <f aca="false">IF(J50&gt;=0.75,20,ROUND(J50*100/75*10,1)*2)</f>
        <v>20</v>
      </c>
      <c r="M50" s="18" t="n">
        <f aca="false">L50-I50</f>
        <v>0</v>
      </c>
    </row>
    <row r="51" customFormat="false" ht="15" hidden="false" customHeight="false" outlineLevel="0" collapsed="false">
      <c r="A51" s="21" t="n">
        <v>46</v>
      </c>
      <c r="B51" s="21" t="s">
        <v>141</v>
      </c>
      <c r="C51" s="22" t="s">
        <v>142</v>
      </c>
      <c r="D51" s="21" t="s">
        <v>33</v>
      </c>
      <c r="E51" s="23" t="n">
        <v>272</v>
      </c>
      <c r="F51" s="23" t="n">
        <v>76</v>
      </c>
      <c r="G51" s="23" t="n">
        <v>348</v>
      </c>
      <c r="H51" s="24" t="n">
        <v>78</v>
      </c>
      <c r="I51" s="24" t="n">
        <f aca="false">IF(H51&gt;=75,20,ROUND(H51/75*10,1)*2)</f>
        <v>20</v>
      </c>
      <c r="J51" s="25" t="n">
        <f aca="false">(E51+Summary!$G$11)/(G51+Summary!$G$11)</f>
        <v>0.83864118895966</v>
      </c>
      <c r="K51" s="26" t="n">
        <f aca="false">J51*100-H51</f>
        <v>5.86411889596603</v>
      </c>
      <c r="L51" s="24" t="n">
        <f aca="false">IF(J51&gt;=0.75,20,ROUND(J51*100/75*10,1)*2)</f>
        <v>20</v>
      </c>
      <c r="M51" s="26" t="n">
        <f aca="false">L51-I51</f>
        <v>0</v>
      </c>
    </row>
    <row r="52" customFormat="false" ht="15" hidden="false" customHeight="false" outlineLevel="0" collapsed="false">
      <c r="A52" s="15" t="n">
        <v>47</v>
      </c>
      <c r="B52" s="15" t="s">
        <v>143</v>
      </c>
      <c r="C52" s="19" t="s">
        <v>144</v>
      </c>
      <c r="D52" s="15" t="s">
        <v>33</v>
      </c>
      <c r="E52" s="20" t="n">
        <v>272</v>
      </c>
      <c r="F52" s="20" t="n">
        <v>76</v>
      </c>
      <c r="G52" s="20" t="n">
        <v>348</v>
      </c>
      <c r="H52" s="16" t="n">
        <v>78</v>
      </c>
      <c r="I52" s="16" t="n">
        <f aca="false">IF(H52&gt;=75,20,ROUND(H52/75*10,1)*2)</f>
        <v>20</v>
      </c>
      <c r="J52" s="17" t="n">
        <f aca="false">(E52+Summary!$G$11)/(G52+Summary!$G$11)</f>
        <v>0.83864118895966</v>
      </c>
      <c r="K52" s="18" t="n">
        <f aca="false">J52*100-H52</f>
        <v>5.86411889596603</v>
      </c>
      <c r="L52" s="16" t="n">
        <f aca="false">IF(J52&gt;=0.75,20,ROUND(J52*100/75*10,1)*2)</f>
        <v>20</v>
      </c>
      <c r="M52" s="18" t="n">
        <f aca="false">L52-I52</f>
        <v>0</v>
      </c>
    </row>
    <row r="53" customFormat="false" ht="15" hidden="false" customHeight="false" outlineLevel="0" collapsed="false">
      <c r="A53" s="21" t="n">
        <v>48</v>
      </c>
      <c r="B53" s="21" t="s">
        <v>145</v>
      </c>
      <c r="C53" s="22" t="s">
        <v>146</v>
      </c>
      <c r="D53" s="21" t="s">
        <v>33</v>
      </c>
      <c r="E53" s="23" t="n">
        <v>270</v>
      </c>
      <c r="F53" s="23" t="n">
        <v>78</v>
      </c>
      <c r="G53" s="23" t="n">
        <v>348</v>
      </c>
      <c r="H53" s="24" t="n">
        <v>78</v>
      </c>
      <c r="I53" s="24" t="n">
        <f aca="false">IF(H53&gt;=75,20,ROUND(H53/75*10,1)*2)</f>
        <v>20</v>
      </c>
      <c r="J53" s="25" t="n">
        <f aca="false">(E53+Summary!$G$11)/(G53+Summary!$G$11)</f>
        <v>0.834394904458599</v>
      </c>
      <c r="K53" s="26" t="n">
        <f aca="false">J53*100-H53</f>
        <v>5.43949044585987</v>
      </c>
      <c r="L53" s="24" t="n">
        <f aca="false">IF(J53&gt;=0.75,20,ROUND(J53*100/75*10,1)*2)</f>
        <v>20</v>
      </c>
      <c r="M53" s="26" t="n">
        <f aca="false">L53-I53</f>
        <v>0</v>
      </c>
    </row>
    <row r="54" customFormat="false" ht="15" hidden="false" customHeight="false" outlineLevel="0" collapsed="false">
      <c r="A54" s="15" t="n">
        <v>49</v>
      </c>
      <c r="B54" s="15" t="s">
        <v>147</v>
      </c>
      <c r="C54" s="19" t="s">
        <v>148</v>
      </c>
      <c r="D54" s="15" t="s">
        <v>33</v>
      </c>
      <c r="E54" s="20" t="n">
        <v>271</v>
      </c>
      <c r="F54" s="20" t="n">
        <v>77</v>
      </c>
      <c r="G54" s="20" t="n">
        <v>348</v>
      </c>
      <c r="H54" s="16" t="n">
        <v>78</v>
      </c>
      <c r="I54" s="16" t="n">
        <f aca="false">IF(H54&gt;=75,20,ROUND(H54/75*10,1)*2)</f>
        <v>20</v>
      </c>
      <c r="J54" s="17" t="n">
        <f aca="false">(E54+Summary!$G$11)/(G54+Summary!$G$11)</f>
        <v>0.83651804670913</v>
      </c>
      <c r="K54" s="18" t="n">
        <f aca="false">J54*100-H54</f>
        <v>5.65180467091295</v>
      </c>
      <c r="L54" s="16" t="n">
        <f aca="false">IF(J54&gt;=0.75,20,ROUND(J54*100/75*10,1)*2)</f>
        <v>20</v>
      </c>
      <c r="M54" s="18" t="n">
        <f aca="false">L54-I54</f>
        <v>0</v>
      </c>
    </row>
    <row r="55" customFormat="false" ht="15" hidden="false" customHeight="false" outlineLevel="0" collapsed="false">
      <c r="A55" s="21" t="n">
        <v>50</v>
      </c>
      <c r="B55" s="21" t="s">
        <v>149</v>
      </c>
      <c r="C55" s="22" t="s">
        <v>150</v>
      </c>
      <c r="D55" s="21" t="s">
        <v>33</v>
      </c>
      <c r="E55" s="23" t="n">
        <v>279</v>
      </c>
      <c r="F55" s="23" t="n">
        <v>69</v>
      </c>
      <c r="G55" s="23" t="n">
        <v>348</v>
      </c>
      <c r="H55" s="24" t="n">
        <v>80</v>
      </c>
      <c r="I55" s="24" t="n">
        <f aca="false">IF(H55&gt;=75,20,ROUND(H55/75*10,1)*2)</f>
        <v>20</v>
      </c>
      <c r="J55" s="25" t="n">
        <f aca="false">(E55+Summary!$G$11)/(G55+Summary!$G$11)</f>
        <v>0.853503184713376</v>
      </c>
      <c r="K55" s="26" t="n">
        <f aca="false">J55*100-H55</f>
        <v>5.35031847133759</v>
      </c>
      <c r="L55" s="24" t="n">
        <f aca="false">IF(J55&gt;=0.75,20,ROUND(J55*100/75*10,1)*2)</f>
        <v>20</v>
      </c>
      <c r="M55" s="26" t="n">
        <f aca="false">L55-I55</f>
        <v>0</v>
      </c>
    </row>
    <row r="56" customFormat="false" ht="15" hidden="false" customHeight="false" outlineLevel="0" collapsed="false">
      <c r="A56" s="15" t="n">
        <v>51</v>
      </c>
      <c r="B56" s="15" t="s">
        <v>151</v>
      </c>
      <c r="C56" s="19" t="s">
        <v>152</v>
      </c>
      <c r="D56" s="15" t="s">
        <v>33</v>
      </c>
      <c r="E56" s="20" t="n">
        <v>278</v>
      </c>
      <c r="F56" s="20" t="n">
        <v>70</v>
      </c>
      <c r="G56" s="20" t="n">
        <v>348</v>
      </c>
      <c r="H56" s="16" t="n">
        <v>80</v>
      </c>
      <c r="I56" s="16" t="n">
        <f aca="false">IF(H56&gt;=75,20,ROUND(H56/75*10,1)*2)</f>
        <v>20</v>
      </c>
      <c r="J56" s="17" t="n">
        <f aca="false">(E56+Summary!$G$11)/(G56+Summary!$G$11)</f>
        <v>0.851380042462845</v>
      </c>
      <c r="K56" s="18" t="n">
        <f aca="false">J56*100-H56</f>
        <v>5.13800424628451</v>
      </c>
      <c r="L56" s="16" t="n">
        <f aca="false">IF(J56&gt;=0.75,20,ROUND(J56*100/75*10,1)*2)</f>
        <v>20</v>
      </c>
      <c r="M56" s="18" t="n">
        <f aca="false">L56-I56</f>
        <v>0</v>
      </c>
    </row>
    <row r="57" customFormat="false" ht="15" hidden="false" customHeight="false" outlineLevel="0" collapsed="false">
      <c r="A57" s="21" t="n">
        <v>52</v>
      </c>
      <c r="B57" s="21" t="s">
        <v>153</v>
      </c>
      <c r="C57" s="22" t="s">
        <v>154</v>
      </c>
      <c r="D57" s="21" t="s">
        <v>33</v>
      </c>
      <c r="E57" s="23" t="n">
        <v>280</v>
      </c>
      <c r="F57" s="23" t="n">
        <v>68</v>
      </c>
      <c r="G57" s="23" t="n">
        <v>348</v>
      </c>
      <c r="H57" s="24" t="n">
        <v>80</v>
      </c>
      <c r="I57" s="24" t="n">
        <f aca="false">IF(H57&gt;=75,20,ROUND(H57/75*10,1)*2)</f>
        <v>20</v>
      </c>
      <c r="J57" s="25" t="n">
        <f aca="false">(E57+Summary!$G$11)/(G57+Summary!$G$11)</f>
        <v>0.855626326963907</v>
      </c>
      <c r="K57" s="26" t="n">
        <f aca="false">J57*100-H57</f>
        <v>5.56263269639067</v>
      </c>
      <c r="L57" s="24" t="n">
        <f aca="false">IF(J57&gt;=0.75,20,ROUND(J57*100/75*10,1)*2)</f>
        <v>20</v>
      </c>
      <c r="M57" s="26" t="n">
        <f aca="false">L57-I57</f>
        <v>0</v>
      </c>
    </row>
    <row r="58" customFormat="false" ht="15" hidden="false" customHeight="false" outlineLevel="0" collapsed="false">
      <c r="A58" s="15" t="n">
        <v>53</v>
      </c>
      <c r="B58" s="15" t="s">
        <v>155</v>
      </c>
      <c r="C58" s="19" t="s">
        <v>156</v>
      </c>
      <c r="D58" s="15" t="s">
        <v>33</v>
      </c>
      <c r="E58" s="20" t="n">
        <v>278</v>
      </c>
      <c r="F58" s="20" t="n">
        <v>70</v>
      </c>
      <c r="G58" s="20" t="n">
        <v>348</v>
      </c>
      <c r="H58" s="16" t="n">
        <v>80</v>
      </c>
      <c r="I58" s="16" t="n">
        <f aca="false">IF(H58&gt;=75,20,ROUND(H58/75*10,1)*2)</f>
        <v>20</v>
      </c>
      <c r="J58" s="17" t="n">
        <f aca="false">(E58+Summary!$G$11)/(G58+Summary!$G$11)</f>
        <v>0.851380042462845</v>
      </c>
      <c r="K58" s="18" t="n">
        <f aca="false">J58*100-H58</f>
        <v>5.13800424628451</v>
      </c>
      <c r="L58" s="16" t="n">
        <f aca="false">IF(J58&gt;=0.75,20,ROUND(J58*100/75*10,1)*2)</f>
        <v>20</v>
      </c>
      <c r="M58" s="18" t="n">
        <f aca="false">L58-I58</f>
        <v>0</v>
      </c>
    </row>
    <row r="59" customFormat="false" ht="15" hidden="false" customHeight="false" outlineLevel="0" collapsed="false">
      <c r="A59" s="21" t="n">
        <v>54</v>
      </c>
      <c r="B59" s="21" t="s">
        <v>157</v>
      </c>
      <c r="C59" s="22" t="s">
        <v>158</v>
      </c>
      <c r="D59" s="21" t="s">
        <v>33</v>
      </c>
      <c r="E59" s="23" t="n">
        <v>283</v>
      </c>
      <c r="F59" s="23" t="n">
        <v>65</v>
      </c>
      <c r="G59" s="23" t="n">
        <v>348</v>
      </c>
      <c r="H59" s="24" t="n">
        <v>81</v>
      </c>
      <c r="I59" s="24" t="n">
        <f aca="false">IF(H59&gt;=75,20,ROUND(H59/75*10,1)*2)</f>
        <v>20</v>
      </c>
      <c r="J59" s="25" t="n">
        <f aca="false">(E59+Summary!$G$11)/(G59+Summary!$G$11)</f>
        <v>0.861995753715499</v>
      </c>
      <c r="K59" s="26" t="n">
        <f aca="false">J59*100-H59</f>
        <v>5.1995753715499</v>
      </c>
      <c r="L59" s="24" t="n">
        <f aca="false">IF(J59&gt;=0.75,20,ROUND(J59*100/75*10,1)*2)</f>
        <v>20</v>
      </c>
      <c r="M59" s="26" t="n">
        <f aca="false">L59-I59</f>
        <v>0</v>
      </c>
    </row>
    <row r="60" customFormat="false" ht="15" hidden="false" customHeight="false" outlineLevel="0" collapsed="false">
      <c r="A60" s="15" t="n">
        <v>55</v>
      </c>
      <c r="B60" s="15" t="s">
        <v>159</v>
      </c>
      <c r="C60" s="19" t="s">
        <v>160</v>
      </c>
      <c r="D60" s="15" t="s">
        <v>33</v>
      </c>
      <c r="E60" s="20" t="n">
        <v>281</v>
      </c>
      <c r="F60" s="20" t="n">
        <v>67</v>
      </c>
      <c r="G60" s="20" t="n">
        <v>348</v>
      </c>
      <c r="H60" s="16" t="n">
        <v>81</v>
      </c>
      <c r="I60" s="16" t="n">
        <f aca="false">IF(H60&gt;=75,20,ROUND(H60/75*10,1)*2)</f>
        <v>20</v>
      </c>
      <c r="J60" s="17" t="n">
        <f aca="false">(E60+Summary!$G$11)/(G60+Summary!$G$11)</f>
        <v>0.857749469214437</v>
      </c>
      <c r="K60" s="18" t="n">
        <f aca="false">J60*100-H60</f>
        <v>4.77494692144374</v>
      </c>
      <c r="L60" s="16" t="n">
        <f aca="false">IF(J60&gt;=0.75,20,ROUND(J60*100/75*10,1)*2)</f>
        <v>20</v>
      </c>
      <c r="M60" s="18" t="n">
        <f aca="false">L60-I60</f>
        <v>0</v>
      </c>
    </row>
    <row r="61" customFormat="false" ht="15" hidden="false" customHeight="false" outlineLevel="0" collapsed="false">
      <c r="A61" s="21" t="n">
        <v>56</v>
      </c>
      <c r="B61" s="21" t="s">
        <v>161</v>
      </c>
      <c r="C61" s="22" t="s">
        <v>162</v>
      </c>
      <c r="D61" s="21" t="s">
        <v>33</v>
      </c>
      <c r="E61" s="23" t="n">
        <v>287</v>
      </c>
      <c r="F61" s="23" t="n">
        <v>61</v>
      </c>
      <c r="G61" s="23" t="n">
        <v>348</v>
      </c>
      <c r="H61" s="24" t="n">
        <v>82</v>
      </c>
      <c r="I61" s="24" t="n">
        <f aca="false">IF(H61&gt;=75,20,ROUND(H61/75*10,1)*2)</f>
        <v>20</v>
      </c>
      <c r="J61" s="25" t="n">
        <f aca="false">(E61+Summary!$G$11)/(G61+Summary!$G$11)</f>
        <v>0.870488322717622</v>
      </c>
      <c r="K61" s="26" t="n">
        <f aca="false">J61*100-H61</f>
        <v>5.04883227176221</v>
      </c>
      <c r="L61" s="24" t="n">
        <f aca="false">IF(J61&gt;=0.75,20,ROUND(J61*100/75*10,1)*2)</f>
        <v>20</v>
      </c>
      <c r="M61" s="26" t="n">
        <f aca="false">L61-I61</f>
        <v>0</v>
      </c>
    </row>
    <row r="62" customFormat="false" ht="15" hidden="false" customHeight="false" outlineLevel="0" collapsed="false">
      <c r="A62" s="15" t="n">
        <v>57</v>
      </c>
      <c r="B62" s="15" t="s">
        <v>163</v>
      </c>
      <c r="C62" s="19" t="s">
        <v>164</v>
      </c>
      <c r="D62" s="15" t="s">
        <v>33</v>
      </c>
      <c r="E62" s="20" t="n">
        <v>287</v>
      </c>
      <c r="F62" s="20" t="n">
        <v>61</v>
      </c>
      <c r="G62" s="20" t="n">
        <v>348</v>
      </c>
      <c r="H62" s="16" t="n">
        <v>82</v>
      </c>
      <c r="I62" s="16" t="n">
        <f aca="false">IF(H62&gt;=75,20,ROUND(H62/75*10,1)*2)</f>
        <v>20</v>
      </c>
      <c r="J62" s="17" t="n">
        <f aca="false">(E62+Summary!$G$11)/(G62+Summary!$G$11)</f>
        <v>0.870488322717622</v>
      </c>
      <c r="K62" s="18" t="n">
        <f aca="false">J62*100-H62</f>
        <v>5.04883227176221</v>
      </c>
      <c r="L62" s="16" t="n">
        <f aca="false">IF(J62&gt;=0.75,20,ROUND(J62*100/75*10,1)*2)</f>
        <v>20</v>
      </c>
      <c r="M62" s="18" t="n">
        <f aca="false">L62-I62</f>
        <v>0</v>
      </c>
    </row>
    <row r="63" customFormat="false" ht="15" hidden="false" customHeight="false" outlineLevel="0" collapsed="false">
      <c r="A63" s="21" t="n">
        <v>58</v>
      </c>
      <c r="B63" s="21" t="s">
        <v>165</v>
      </c>
      <c r="C63" s="22" t="s">
        <v>166</v>
      </c>
      <c r="D63" s="21" t="s">
        <v>33</v>
      </c>
      <c r="E63" s="23" t="n">
        <v>286</v>
      </c>
      <c r="F63" s="23" t="n">
        <v>62</v>
      </c>
      <c r="G63" s="23" t="n">
        <v>348</v>
      </c>
      <c r="H63" s="24" t="n">
        <v>82</v>
      </c>
      <c r="I63" s="24" t="n">
        <f aca="false">IF(H63&gt;=75,20,ROUND(H63/75*10,1)*2)</f>
        <v>20</v>
      </c>
      <c r="J63" s="25" t="n">
        <f aca="false">(E63+Summary!$G$11)/(G63+Summary!$G$11)</f>
        <v>0.868365180467091</v>
      </c>
      <c r="K63" s="26" t="n">
        <f aca="false">J63*100-H63</f>
        <v>4.83651804670913</v>
      </c>
      <c r="L63" s="24" t="n">
        <f aca="false">IF(J63&gt;=0.75,20,ROUND(J63*100/75*10,1)*2)</f>
        <v>20</v>
      </c>
      <c r="M63" s="26" t="n">
        <f aca="false">L63-I63</f>
        <v>0</v>
      </c>
    </row>
    <row r="64" customFormat="false" ht="15" hidden="false" customHeight="false" outlineLevel="0" collapsed="false">
      <c r="A64" s="15" t="n">
        <v>59</v>
      </c>
      <c r="B64" s="15" t="s">
        <v>167</v>
      </c>
      <c r="C64" s="19" t="s">
        <v>168</v>
      </c>
      <c r="D64" s="15" t="s">
        <v>33</v>
      </c>
      <c r="E64" s="20" t="n">
        <v>297</v>
      </c>
      <c r="F64" s="20" t="n">
        <v>51</v>
      </c>
      <c r="G64" s="20" t="n">
        <v>348</v>
      </c>
      <c r="H64" s="16" t="n">
        <v>85</v>
      </c>
      <c r="I64" s="16" t="n">
        <f aca="false">IF(H64&gt;=75,20,ROUND(H64/75*10,1)*2)</f>
        <v>20</v>
      </c>
      <c r="J64" s="17" t="n">
        <f aca="false">(E64+Summary!$G$11)/(G64+Summary!$G$11)</f>
        <v>0.89171974522293</v>
      </c>
      <c r="K64" s="18" t="n">
        <f aca="false">J64*100-H64</f>
        <v>4.171974522293</v>
      </c>
      <c r="L64" s="16" t="n">
        <f aca="false">IF(J64&gt;=0.75,20,ROUND(J64*100/75*10,1)*2)</f>
        <v>20</v>
      </c>
      <c r="M64" s="18" t="n">
        <f aca="false">L64-I64</f>
        <v>0</v>
      </c>
    </row>
    <row r="65" customFormat="false" ht="15" hidden="false" customHeight="false" outlineLevel="0" collapsed="false">
      <c r="A65" s="21" t="n">
        <v>60</v>
      </c>
      <c r="B65" s="21" t="s">
        <v>169</v>
      </c>
      <c r="C65" s="22" t="s">
        <v>170</v>
      </c>
      <c r="D65" s="21" t="s">
        <v>33</v>
      </c>
      <c r="E65" s="23" t="n">
        <v>301</v>
      </c>
      <c r="F65" s="23" t="n">
        <v>47</v>
      </c>
      <c r="G65" s="23" t="n">
        <v>348</v>
      </c>
      <c r="H65" s="24" t="n">
        <v>86</v>
      </c>
      <c r="I65" s="24" t="n">
        <f aca="false">IF(H65&gt;=75,20,ROUND(H65/75*10,1)*2)</f>
        <v>20</v>
      </c>
      <c r="J65" s="25" t="n">
        <f aca="false">(E65+Summary!$G$11)/(G65+Summary!$G$11)</f>
        <v>0.900212314225053</v>
      </c>
      <c r="K65" s="26" t="n">
        <f aca="false">J65*100-H65</f>
        <v>4.02123142250531</v>
      </c>
      <c r="L65" s="24" t="n">
        <f aca="false">IF(J65&gt;=0.75,20,ROUND(J65*100/75*10,1)*2)</f>
        <v>20</v>
      </c>
      <c r="M65" s="26" t="n">
        <f aca="false">L65-I65</f>
        <v>0</v>
      </c>
    </row>
    <row r="66" customFormat="false" ht="15" hidden="false" customHeight="false" outlineLevel="0" collapsed="false">
      <c r="A66" s="15" t="n">
        <v>61</v>
      </c>
      <c r="B66" s="15" t="s">
        <v>171</v>
      </c>
      <c r="C66" s="19" t="s">
        <v>172</v>
      </c>
      <c r="D66" s="15" t="s">
        <v>33</v>
      </c>
      <c r="E66" s="20" t="n">
        <v>307</v>
      </c>
      <c r="F66" s="20" t="n">
        <v>41</v>
      </c>
      <c r="G66" s="20" t="n">
        <v>348</v>
      </c>
      <c r="H66" s="16" t="n">
        <v>88</v>
      </c>
      <c r="I66" s="16" t="n">
        <f aca="false">IF(H66&gt;=75,20,ROUND(H66/75*10,1)*2)</f>
        <v>20</v>
      </c>
      <c r="J66" s="17" t="n">
        <f aca="false">(E66+Summary!$G$11)/(G66+Summary!$G$11)</f>
        <v>0.912951167728238</v>
      </c>
      <c r="K66" s="18" t="n">
        <f aca="false">J66*100-H66</f>
        <v>3.29511677282378</v>
      </c>
      <c r="L66" s="16" t="n">
        <f aca="false">IF(J66&gt;=0.75,20,ROUND(J66*100/75*10,1)*2)</f>
        <v>20</v>
      </c>
      <c r="M66" s="18" t="n">
        <f aca="false">L66-I66</f>
        <v>0</v>
      </c>
    </row>
    <row r="67" customFormat="false" ht="15" hidden="false" customHeight="false" outlineLevel="0" collapsed="false">
      <c r="A67" s="21" t="n">
        <v>62</v>
      </c>
      <c r="B67" s="21" t="s">
        <v>173</v>
      </c>
      <c r="C67" s="22" t="s">
        <v>174</v>
      </c>
      <c r="D67" s="21" t="s">
        <v>34</v>
      </c>
      <c r="E67" s="23" t="n">
        <v>68</v>
      </c>
      <c r="F67" s="23" t="n">
        <v>280</v>
      </c>
      <c r="G67" s="23" t="n">
        <v>348</v>
      </c>
      <c r="H67" s="24" t="n">
        <v>20</v>
      </c>
      <c r="I67" s="24" t="n">
        <f aca="false">IF(H67&gt;=75,20,ROUND(H67/75*10,1)*2)</f>
        <v>5.4</v>
      </c>
      <c r="J67" s="25" t="n">
        <f aca="false">(E67+Summary!$G$11)/(G67+Summary!$G$11)</f>
        <v>0.40552016985138</v>
      </c>
      <c r="K67" s="26" t="n">
        <f aca="false">J67*100-H67</f>
        <v>20.552016985138</v>
      </c>
      <c r="L67" s="24" t="n">
        <f aca="false">IF(J67&gt;=0.75,20,ROUND(J67*100/75*10,1)*2)</f>
        <v>10.8</v>
      </c>
      <c r="M67" s="26" t="n">
        <f aca="false">L67-I67</f>
        <v>5.4</v>
      </c>
    </row>
    <row r="68" customFormat="false" ht="15" hidden="false" customHeight="false" outlineLevel="0" collapsed="false">
      <c r="A68" s="15" t="n">
        <v>63</v>
      </c>
      <c r="B68" s="15" t="s">
        <v>175</v>
      </c>
      <c r="C68" s="19" t="s">
        <v>176</v>
      </c>
      <c r="D68" s="15" t="s">
        <v>34</v>
      </c>
      <c r="E68" s="20" t="n">
        <v>110</v>
      </c>
      <c r="F68" s="20" t="n">
        <v>238</v>
      </c>
      <c r="G68" s="20" t="n">
        <v>348</v>
      </c>
      <c r="H68" s="16" t="n">
        <v>32</v>
      </c>
      <c r="I68" s="16" t="n">
        <f aca="false">IF(H68&gt;=75,20,ROUND(H68/75*10,1)*2)</f>
        <v>8.6</v>
      </c>
      <c r="J68" s="17" t="n">
        <f aca="false">(E68+Summary!$G$11)/(G68+Summary!$G$11)</f>
        <v>0.494692144373673</v>
      </c>
      <c r="K68" s="18" t="n">
        <f aca="false">J68*100-H68</f>
        <v>17.4692144373673</v>
      </c>
      <c r="L68" s="16" t="n">
        <f aca="false">IF(J68&gt;=0.75,20,ROUND(J68*100/75*10,1)*2)</f>
        <v>13.2</v>
      </c>
      <c r="M68" s="18" t="n">
        <f aca="false">L68-I68</f>
        <v>4.6</v>
      </c>
    </row>
    <row r="69" customFormat="false" ht="15" hidden="false" customHeight="false" outlineLevel="0" collapsed="false">
      <c r="A69" s="21" t="n">
        <v>64</v>
      </c>
      <c r="B69" s="21" t="s">
        <v>177</v>
      </c>
      <c r="C69" s="22" t="s">
        <v>178</v>
      </c>
      <c r="D69" s="21" t="s">
        <v>34</v>
      </c>
      <c r="E69" s="23" t="n">
        <v>115</v>
      </c>
      <c r="F69" s="23" t="n">
        <v>233</v>
      </c>
      <c r="G69" s="23" t="n">
        <v>348</v>
      </c>
      <c r="H69" s="24" t="n">
        <v>33</v>
      </c>
      <c r="I69" s="24" t="n">
        <f aca="false">IF(H69&gt;=75,20,ROUND(H69/75*10,1)*2)</f>
        <v>8.8</v>
      </c>
      <c r="J69" s="25" t="n">
        <f aca="false">(E69+Summary!$G$11)/(G69+Summary!$G$11)</f>
        <v>0.505307855626327</v>
      </c>
      <c r="K69" s="26" t="n">
        <f aca="false">J69*100-H69</f>
        <v>17.5307855626327</v>
      </c>
      <c r="L69" s="24" t="n">
        <f aca="false">IF(J69&gt;=0.75,20,ROUND(J69*100/75*10,1)*2)</f>
        <v>13.4</v>
      </c>
      <c r="M69" s="26" t="n">
        <f aca="false">L69-I69</f>
        <v>4.6</v>
      </c>
    </row>
    <row r="70" customFormat="false" ht="15" hidden="false" customHeight="false" outlineLevel="0" collapsed="false">
      <c r="A70" s="15" t="n">
        <v>65</v>
      </c>
      <c r="B70" s="15" t="s">
        <v>179</v>
      </c>
      <c r="C70" s="19" t="s">
        <v>180</v>
      </c>
      <c r="D70" s="15" t="s">
        <v>34</v>
      </c>
      <c r="E70" s="20" t="n">
        <v>137</v>
      </c>
      <c r="F70" s="20" t="n">
        <v>211</v>
      </c>
      <c r="G70" s="20" t="n">
        <v>348</v>
      </c>
      <c r="H70" s="16" t="n">
        <v>39</v>
      </c>
      <c r="I70" s="16" t="n">
        <f aca="false">IF(H70&gt;=75,20,ROUND(H70/75*10,1)*2)</f>
        <v>10.4</v>
      </c>
      <c r="J70" s="17" t="n">
        <f aca="false">(E70+Summary!$G$11)/(G70+Summary!$G$11)</f>
        <v>0.552016985138004</v>
      </c>
      <c r="K70" s="18" t="n">
        <f aca="false">J70*100-H70</f>
        <v>16.2016985138004</v>
      </c>
      <c r="L70" s="16" t="n">
        <f aca="false">IF(J70&gt;=0.75,20,ROUND(J70*100/75*10,1)*2)</f>
        <v>14.8</v>
      </c>
      <c r="M70" s="18" t="n">
        <f aca="false">L70-I70</f>
        <v>4.4</v>
      </c>
    </row>
    <row r="71" customFormat="false" ht="15" hidden="false" customHeight="false" outlineLevel="0" collapsed="false">
      <c r="A71" s="21" t="n">
        <v>66</v>
      </c>
      <c r="B71" s="21" t="s">
        <v>181</v>
      </c>
      <c r="C71" s="22" t="s">
        <v>182</v>
      </c>
      <c r="D71" s="21" t="s">
        <v>34</v>
      </c>
      <c r="E71" s="23" t="n">
        <v>136</v>
      </c>
      <c r="F71" s="23" t="n">
        <v>212</v>
      </c>
      <c r="G71" s="23" t="n">
        <v>348</v>
      </c>
      <c r="H71" s="24" t="n">
        <v>39</v>
      </c>
      <c r="I71" s="24" t="n">
        <f aca="false">IF(H71&gt;=75,20,ROUND(H71/75*10,1)*2)</f>
        <v>10.4</v>
      </c>
      <c r="J71" s="25" t="n">
        <f aca="false">(E71+Summary!$G$11)/(G71+Summary!$G$11)</f>
        <v>0.549893842887473</v>
      </c>
      <c r="K71" s="26" t="n">
        <f aca="false">J71*100-H71</f>
        <v>15.9893842887473</v>
      </c>
      <c r="L71" s="24" t="n">
        <f aca="false">IF(J71&gt;=0.75,20,ROUND(J71*100/75*10,1)*2)</f>
        <v>14.6</v>
      </c>
      <c r="M71" s="26" t="n">
        <f aca="false">L71-I71</f>
        <v>4.2</v>
      </c>
    </row>
    <row r="72" customFormat="false" ht="15" hidden="false" customHeight="false" outlineLevel="0" collapsed="false">
      <c r="A72" s="15" t="n">
        <v>67</v>
      </c>
      <c r="B72" s="15" t="s">
        <v>183</v>
      </c>
      <c r="C72" s="19" t="s">
        <v>184</v>
      </c>
      <c r="D72" s="15" t="s">
        <v>34</v>
      </c>
      <c r="E72" s="20" t="n">
        <v>146</v>
      </c>
      <c r="F72" s="20" t="n">
        <v>202</v>
      </c>
      <c r="G72" s="20" t="n">
        <v>348</v>
      </c>
      <c r="H72" s="16" t="n">
        <v>42</v>
      </c>
      <c r="I72" s="16" t="n">
        <f aca="false">IF(H72&gt;=75,20,ROUND(H72/75*10,1)*2)</f>
        <v>11.2</v>
      </c>
      <c r="J72" s="17" t="n">
        <f aca="false">(E72+Summary!$G$11)/(G72+Summary!$G$11)</f>
        <v>0.571125265392781</v>
      </c>
      <c r="K72" s="18" t="n">
        <f aca="false">J72*100-H72</f>
        <v>15.1125265392781</v>
      </c>
      <c r="L72" s="16" t="n">
        <f aca="false">IF(J72&gt;=0.75,20,ROUND(J72*100/75*10,1)*2)</f>
        <v>15.2</v>
      </c>
      <c r="M72" s="18" t="n">
        <f aca="false">L72-I72</f>
        <v>4</v>
      </c>
    </row>
    <row r="73" customFormat="false" ht="15" hidden="false" customHeight="false" outlineLevel="0" collapsed="false">
      <c r="A73" s="21" t="n">
        <v>68</v>
      </c>
      <c r="B73" s="21" t="s">
        <v>185</v>
      </c>
      <c r="C73" s="22" t="s">
        <v>186</v>
      </c>
      <c r="D73" s="21" t="s">
        <v>34</v>
      </c>
      <c r="E73" s="23" t="n">
        <v>145</v>
      </c>
      <c r="F73" s="23" t="n">
        <v>203</v>
      </c>
      <c r="G73" s="23" t="n">
        <v>348</v>
      </c>
      <c r="H73" s="24" t="n">
        <v>42</v>
      </c>
      <c r="I73" s="24" t="n">
        <f aca="false">IF(H73&gt;=75,20,ROUND(H73/75*10,1)*2)</f>
        <v>11.2</v>
      </c>
      <c r="J73" s="25" t="n">
        <f aca="false">(E73+Summary!$G$11)/(G73+Summary!$G$11)</f>
        <v>0.569002123142251</v>
      </c>
      <c r="K73" s="26" t="n">
        <f aca="false">J73*100-H73</f>
        <v>14.9002123142251</v>
      </c>
      <c r="L73" s="24" t="n">
        <f aca="false">IF(J73&gt;=0.75,20,ROUND(J73*100/75*10,1)*2)</f>
        <v>15.2</v>
      </c>
      <c r="M73" s="26" t="n">
        <f aca="false">L73-I73</f>
        <v>4</v>
      </c>
    </row>
    <row r="74" customFormat="false" ht="15" hidden="false" customHeight="false" outlineLevel="0" collapsed="false">
      <c r="A74" s="15" t="n">
        <v>69</v>
      </c>
      <c r="B74" s="15" t="s">
        <v>187</v>
      </c>
      <c r="C74" s="19" t="s">
        <v>188</v>
      </c>
      <c r="D74" s="15" t="s">
        <v>34</v>
      </c>
      <c r="E74" s="20" t="n">
        <v>150</v>
      </c>
      <c r="F74" s="20" t="n">
        <v>198</v>
      </c>
      <c r="G74" s="20" t="n">
        <v>348</v>
      </c>
      <c r="H74" s="16" t="n">
        <v>43</v>
      </c>
      <c r="I74" s="16" t="n">
        <f aca="false">IF(H74&gt;=75,20,ROUND(H74/75*10,1)*2)</f>
        <v>11.4</v>
      </c>
      <c r="J74" s="17" t="n">
        <f aca="false">(E74+Summary!$G$11)/(G74+Summary!$G$11)</f>
        <v>0.579617834394904</v>
      </c>
      <c r="K74" s="18" t="n">
        <f aca="false">J74*100-H74</f>
        <v>14.9617834394904</v>
      </c>
      <c r="L74" s="16" t="n">
        <f aca="false">IF(J74&gt;=0.75,20,ROUND(J74*100/75*10,1)*2)</f>
        <v>15.4</v>
      </c>
      <c r="M74" s="18" t="n">
        <f aca="false">L74-I74</f>
        <v>4</v>
      </c>
    </row>
    <row r="75" customFormat="false" ht="15" hidden="false" customHeight="false" outlineLevel="0" collapsed="false">
      <c r="A75" s="21" t="n">
        <v>70</v>
      </c>
      <c r="B75" s="21" t="s">
        <v>189</v>
      </c>
      <c r="C75" s="22" t="s">
        <v>190</v>
      </c>
      <c r="D75" s="21" t="s">
        <v>34</v>
      </c>
      <c r="E75" s="23" t="n">
        <v>150</v>
      </c>
      <c r="F75" s="23" t="n">
        <v>198</v>
      </c>
      <c r="G75" s="23" t="n">
        <v>348</v>
      </c>
      <c r="H75" s="24" t="n">
        <v>43</v>
      </c>
      <c r="I75" s="24" t="n">
        <f aca="false">IF(H75&gt;=75,20,ROUND(H75/75*10,1)*2)</f>
        <v>11.4</v>
      </c>
      <c r="J75" s="25" t="n">
        <f aca="false">(E75+Summary!$G$11)/(G75+Summary!$G$11)</f>
        <v>0.579617834394904</v>
      </c>
      <c r="K75" s="26" t="n">
        <f aca="false">J75*100-H75</f>
        <v>14.9617834394904</v>
      </c>
      <c r="L75" s="24" t="n">
        <f aca="false">IF(J75&gt;=0.75,20,ROUND(J75*100/75*10,1)*2)</f>
        <v>15.4</v>
      </c>
      <c r="M75" s="26" t="n">
        <f aca="false">L75-I75</f>
        <v>4</v>
      </c>
    </row>
    <row r="76" customFormat="false" ht="15" hidden="false" customHeight="false" outlineLevel="0" collapsed="false">
      <c r="A76" s="15" t="n">
        <v>71</v>
      </c>
      <c r="B76" s="15" t="s">
        <v>191</v>
      </c>
      <c r="C76" s="19" t="s">
        <v>192</v>
      </c>
      <c r="D76" s="15" t="s">
        <v>34</v>
      </c>
      <c r="E76" s="20" t="n">
        <v>156</v>
      </c>
      <c r="F76" s="20" t="n">
        <v>192</v>
      </c>
      <c r="G76" s="20" t="n">
        <v>348</v>
      </c>
      <c r="H76" s="16" t="n">
        <v>45</v>
      </c>
      <c r="I76" s="16" t="n">
        <f aca="false">IF(H76&gt;=75,20,ROUND(H76/75*10,1)*2)</f>
        <v>12</v>
      </c>
      <c r="J76" s="17" t="n">
        <f aca="false">(E76+Summary!$G$11)/(G76+Summary!$G$11)</f>
        <v>0.592356687898089</v>
      </c>
      <c r="K76" s="18" t="n">
        <f aca="false">J76*100-H76</f>
        <v>14.2356687898089</v>
      </c>
      <c r="L76" s="16" t="n">
        <f aca="false">IF(J76&gt;=0.75,20,ROUND(J76*100/75*10,1)*2)</f>
        <v>15.8</v>
      </c>
      <c r="M76" s="18" t="n">
        <f aca="false">L76-I76</f>
        <v>3.8</v>
      </c>
    </row>
    <row r="77" customFormat="false" ht="15" hidden="false" customHeight="false" outlineLevel="0" collapsed="false">
      <c r="A77" s="21" t="n">
        <v>72</v>
      </c>
      <c r="B77" s="21" t="s">
        <v>193</v>
      </c>
      <c r="C77" s="22" t="s">
        <v>194</v>
      </c>
      <c r="D77" s="21" t="s">
        <v>34</v>
      </c>
      <c r="E77" s="23" t="n">
        <v>159</v>
      </c>
      <c r="F77" s="23" t="n">
        <v>189</v>
      </c>
      <c r="G77" s="23" t="n">
        <v>348</v>
      </c>
      <c r="H77" s="24" t="n">
        <v>46</v>
      </c>
      <c r="I77" s="24" t="n">
        <f aca="false">IF(H77&gt;=75,20,ROUND(H77/75*10,1)*2)</f>
        <v>12.2</v>
      </c>
      <c r="J77" s="25" t="n">
        <f aca="false">(E77+Summary!$G$11)/(G77+Summary!$G$11)</f>
        <v>0.598726114649682</v>
      </c>
      <c r="K77" s="26" t="n">
        <f aca="false">J77*100-H77</f>
        <v>13.8726114649682</v>
      </c>
      <c r="L77" s="24" t="n">
        <f aca="false">IF(J77&gt;=0.75,20,ROUND(J77*100/75*10,1)*2)</f>
        <v>16</v>
      </c>
      <c r="M77" s="26" t="n">
        <f aca="false">L77-I77</f>
        <v>3.8</v>
      </c>
    </row>
    <row r="78" customFormat="false" ht="15" hidden="false" customHeight="false" outlineLevel="0" collapsed="false">
      <c r="A78" s="15" t="n">
        <v>73</v>
      </c>
      <c r="B78" s="15" t="s">
        <v>195</v>
      </c>
      <c r="C78" s="19" t="s">
        <v>196</v>
      </c>
      <c r="D78" s="15" t="s">
        <v>34</v>
      </c>
      <c r="E78" s="20" t="n">
        <v>162</v>
      </c>
      <c r="F78" s="20" t="n">
        <v>186</v>
      </c>
      <c r="G78" s="20" t="n">
        <v>348</v>
      </c>
      <c r="H78" s="16" t="n">
        <v>47</v>
      </c>
      <c r="I78" s="16" t="n">
        <f aca="false">IF(H78&gt;=75,20,ROUND(H78/75*10,1)*2)</f>
        <v>12.6</v>
      </c>
      <c r="J78" s="17" t="n">
        <f aca="false">(E78+Summary!$G$11)/(G78+Summary!$G$11)</f>
        <v>0.605095541401274</v>
      </c>
      <c r="K78" s="18" t="n">
        <f aca="false">J78*100-H78</f>
        <v>13.5095541401274</v>
      </c>
      <c r="L78" s="16" t="n">
        <f aca="false">IF(J78&gt;=0.75,20,ROUND(J78*100/75*10,1)*2)</f>
        <v>16.2</v>
      </c>
      <c r="M78" s="18" t="n">
        <f aca="false">L78-I78</f>
        <v>3.6</v>
      </c>
    </row>
    <row r="79" customFormat="false" ht="15" hidden="false" customHeight="false" outlineLevel="0" collapsed="false">
      <c r="A79" s="21" t="n">
        <v>74</v>
      </c>
      <c r="B79" s="21" t="s">
        <v>197</v>
      </c>
      <c r="C79" s="22" t="s">
        <v>198</v>
      </c>
      <c r="D79" s="21" t="s">
        <v>34</v>
      </c>
      <c r="E79" s="23" t="n">
        <v>169</v>
      </c>
      <c r="F79" s="23" t="n">
        <v>179</v>
      </c>
      <c r="G79" s="23" t="n">
        <v>348</v>
      </c>
      <c r="H79" s="24" t="n">
        <v>49</v>
      </c>
      <c r="I79" s="24" t="n">
        <f aca="false">IF(H79&gt;=75,20,ROUND(H79/75*10,1)*2)</f>
        <v>13</v>
      </c>
      <c r="J79" s="25" t="n">
        <f aca="false">(E79+Summary!$G$11)/(G79+Summary!$G$11)</f>
        <v>0.619957537154989</v>
      </c>
      <c r="K79" s="26" t="n">
        <f aca="false">J79*100-H79</f>
        <v>12.9957537154989</v>
      </c>
      <c r="L79" s="24" t="n">
        <f aca="false">IF(J79&gt;=0.75,20,ROUND(J79*100/75*10,1)*2)</f>
        <v>16.6</v>
      </c>
      <c r="M79" s="26" t="n">
        <f aca="false">L79-I79</f>
        <v>3.6</v>
      </c>
    </row>
    <row r="80" customFormat="false" ht="15" hidden="false" customHeight="false" outlineLevel="0" collapsed="false">
      <c r="A80" s="15" t="n">
        <v>75</v>
      </c>
      <c r="B80" s="15" t="s">
        <v>199</v>
      </c>
      <c r="C80" s="19" t="s">
        <v>200</v>
      </c>
      <c r="D80" s="15" t="s">
        <v>34</v>
      </c>
      <c r="E80" s="20" t="n">
        <v>176</v>
      </c>
      <c r="F80" s="20" t="n">
        <v>172</v>
      </c>
      <c r="G80" s="20" t="n">
        <v>348</v>
      </c>
      <c r="H80" s="16" t="n">
        <v>51</v>
      </c>
      <c r="I80" s="16" t="n">
        <f aca="false">IF(H80&gt;=75,20,ROUND(H80/75*10,1)*2)</f>
        <v>13.6</v>
      </c>
      <c r="J80" s="17" t="n">
        <f aca="false">(E80+Summary!$G$11)/(G80+Summary!$G$11)</f>
        <v>0.634819532908705</v>
      </c>
      <c r="K80" s="18" t="n">
        <f aca="false">J80*100-H80</f>
        <v>12.4819532908705</v>
      </c>
      <c r="L80" s="16" t="n">
        <f aca="false">IF(J80&gt;=0.75,20,ROUND(J80*100/75*10,1)*2)</f>
        <v>17</v>
      </c>
      <c r="M80" s="18" t="n">
        <f aca="false">L80-I80</f>
        <v>3.4</v>
      </c>
    </row>
    <row r="81" customFormat="false" ht="15" hidden="false" customHeight="false" outlineLevel="0" collapsed="false">
      <c r="A81" s="21" t="n">
        <v>76</v>
      </c>
      <c r="B81" s="21" t="s">
        <v>201</v>
      </c>
      <c r="C81" s="22" t="s">
        <v>202</v>
      </c>
      <c r="D81" s="21" t="s">
        <v>34</v>
      </c>
      <c r="E81" s="23" t="n">
        <v>195</v>
      </c>
      <c r="F81" s="23" t="n">
        <v>153</v>
      </c>
      <c r="G81" s="23" t="n">
        <v>348</v>
      </c>
      <c r="H81" s="24" t="n">
        <v>56</v>
      </c>
      <c r="I81" s="24" t="n">
        <f aca="false">IF(H81&gt;=75,20,ROUND(H81/75*10,1)*2)</f>
        <v>15</v>
      </c>
      <c r="J81" s="25" t="n">
        <f aca="false">(E81+Summary!$G$11)/(G81+Summary!$G$11)</f>
        <v>0.67515923566879</v>
      </c>
      <c r="K81" s="26" t="n">
        <f aca="false">J81*100-H81</f>
        <v>11.515923566879</v>
      </c>
      <c r="L81" s="24" t="n">
        <f aca="false">IF(J81&gt;=0.75,20,ROUND(J81*100/75*10,1)*2)</f>
        <v>18</v>
      </c>
      <c r="M81" s="26" t="n">
        <f aca="false">L81-I81</f>
        <v>3</v>
      </c>
    </row>
    <row r="82" customFormat="false" ht="15" hidden="false" customHeight="false" outlineLevel="0" collapsed="false">
      <c r="A82" s="15" t="n">
        <v>77</v>
      </c>
      <c r="B82" s="15" t="s">
        <v>203</v>
      </c>
      <c r="C82" s="19" t="s">
        <v>204</v>
      </c>
      <c r="D82" s="15" t="s">
        <v>34</v>
      </c>
      <c r="E82" s="20" t="n">
        <v>205</v>
      </c>
      <c r="F82" s="20" t="n">
        <v>143</v>
      </c>
      <c r="G82" s="20" t="n">
        <v>348</v>
      </c>
      <c r="H82" s="16" t="n">
        <v>59</v>
      </c>
      <c r="I82" s="16" t="n">
        <f aca="false">IF(H82&gt;=75,20,ROUND(H82/75*10,1)*2)</f>
        <v>15.8</v>
      </c>
      <c r="J82" s="17" t="n">
        <f aca="false">(E82+Summary!$G$11)/(G82+Summary!$G$11)</f>
        <v>0.696390658174098</v>
      </c>
      <c r="K82" s="18" t="n">
        <f aca="false">J82*100-H82</f>
        <v>10.6390658174098</v>
      </c>
      <c r="L82" s="16" t="n">
        <f aca="false">IF(J82&gt;=0.75,20,ROUND(J82*100/75*10,1)*2)</f>
        <v>18.6</v>
      </c>
      <c r="M82" s="18" t="n">
        <f aca="false">L82-I82</f>
        <v>2.8</v>
      </c>
    </row>
    <row r="83" customFormat="false" ht="15" hidden="false" customHeight="false" outlineLevel="0" collapsed="false">
      <c r="A83" s="21" t="n">
        <v>78</v>
      </c>
      <c r="B83" s="21" t="s">
        <v>205</v>
      </c>
      <c r="C83" s="22" t="s">
        <v>206</v>
      </c>
      <c r="D83" s="21" t="s">
        <v>34</v>
      </c>
      <c r="E83" s="23" t="n">
        <v>209</v>
      </c>
      <c r="F83" s="23" t="n">
        <v>139</v>
      </c>
      <c r="G83" s="23" t="n">
        <v>348</v>
      </c>
      <c r="H83" s="24" t="n">
        <v>60</v>
      </c>
      <c r="I83" s="24" t="n">
        <f aca="false">IF(H83&gt;=75,20,ROUND(H83/75*10,1)*2)</f>
        <v>16</v>
      </c>
      <c r="J83" s="25" t="n">
        <f aca="false">(E83+Summary!$G$11)/(G83+Summary!$G$11)</f>
        <v>0.704883227176221</v>
      </c>
      <c r="K83" s="26" t="n">
        <f aca="false">J83*100-H83</f>
        <v>10.4883227176221</v>
      </c>
      <c r="L83" s="24" t="n">
        <f aca="false">IF(J83&gt;=0.75,20,ROUND(J83*100/75*10,1)*2)</f>
        <v>18.8</v>
      </c>
      <c r="M83" s="26" t="n">
        <f aca="false">L83-I83</f>
        <v>2.8</v>
      </c>
    </row>
    <row r="84" customFormat="false" ht="15" hidden="false" customHeight="false" outlineLevel="0" collapsed="false">
      <c r="A84" s="15" t="n">
        <v>79</v>
      </c>
      <c r="B84" s="15" t="s">
        <v>207</v>
      </c>
      <c r="C84" s="19" t="s">
        <v>208</v>
      </c>
      <c r="D84" s="15" t="s">
        <v>34</v>
      </c>
      <c r="E84" s="20" t="n">
        <v>214</v>
      </c>
      <c r="F84" s="20" t="n">
        <v>134</v>
      </c>
      <c r="G84" s="20" t="n">
        <v>348</v>
      </c>
      <c r="H84" s="16" t="n">
        <v>61</v>
      </c>
      <c r="I84" s="16" t="n">
        <f aca="false">IF(H84&gt;=75,20,ROUND(H84/75*10,1)*2)</f>
        <v>16.2</v>
      </c>
      <c r="J84" s="17" t="n">
        <f aca="false">(E84+Summary!$G$11)/(G84+Summary!$G$11)</f>
        <v>0.715498938428875</v>
      </c>
      <c r="K84" s="18" t="n">
        <f aca="false">J84*100-H84</f>
        <v>10.5498938428875</v>
      </c>
      <c r="L84" s="16" t="n">
        <f aca="false">IF(J84&gt;=0.75,20,ROUND(J84*100/75*10,1)*2)</f>
        <v>19</v>
      </c>
      <c r="M84" s="18" t="n">
        <f aca="false">L84-I84</f>
        <v>2.8</v>
      </c>
    </row>
    <row r="85" customFormat="false" ht="15" hidden="false" customHeight="false" outlineLevel="0" collapsed="false">
      <c r="A85" s="21" t="n">
        <v>80</v>
      </c>
      <c r="B85" s="21" t="s">
        <v>209</v>
      </c>
      <c r="C85" s="22" t="s">
        <v>210</v>
      </c>
      <c r="D85" s="21" t="s">
        <v>34</v>
      </c>
      <c r="E85" s="23" t="n">
        <v>214</v>
      </c>
      <c r="F85" s="23" t="n">
        <v>134</v>
      </c>
      <c r="G85" s="23" t="n">
        <v>348</v>
      </c>
      <c r="H85" s="24" t="n">
        <v>61</v>
      </c>
      <c r="I85" s="24" t="n">
        <f aca="false">IF(H85&gt;=75,20,ROUND(H85/75*10,1)*2)</f>
        <v>16.2</v>
      </c>
      <c r="J85" s="25" t="n">
        <f aca="false">(E85+Summary!$G$11)/(G85+Summary!$G$11)</f>
        <v>0.715498938428875</v>
      </c>
      <c r="K85" s="26" t="n">
        <f aca="false">J85*100-H85</f>
        <v>10.5498938428875</v>
      </c>
      <c r="L85" s="24" t="n">
        <f aca="false">IF(J85&gt;=0.75,20,ROUND(J85*100/75*10,1)*2)</f>
        <v>19</v>
      </c>
      <c r="M85" s="26" t="n">
        <f aca="false">L85-I85</f>
        <v>2.8</v>
      </c>
    </row>
    <row r="86" customFormat="false" ht="15" hidden="false" customHeight="false" outlineLevel="0" collapsed="false">
      <c r="A86" s="15" t="n">
        <v>81</v>
      </c>
      <c r="B86" s="15" t="s">
        <v>211</v>
      </c>
      <c r="C86" s="19" t="s">
        <v>212</v>
      </c>
      <c r="D86" s="15" t="s">
        <v>34</v>
      </c>
      <c r="E86" s="20" t="n">
        <v>218</v>
      </c>
      <c r="F86" s="20" t="n">
        <v>130</v>
      </c>
      <c r="G86" s="20" t="n">
        <v>348</v>
      </c>
      <c r="H86" s="16" t="n">
        <v>63</v>
      </c>
      <c r="I86" s="16" t="n">
        <f aca="false">IF(H86&gt;=75,20,ROUND(H86/75*10,1)*2)</f>
        <v>16.8</v>
      </c>
      <c r="J86" s="17" t="n">
        <f aca="false">(E86+Summary!$G$11)/(G86+Summary!$G$11)</f>
        <v>0.723991507430998</v>
      </c>
      <c r="K86" s="18" t="n">
        <f aca="false">J86*100-H86</f>
        <v>9.39915074309978</v>
      </c>
      <c r="L86" s="16" t="n">
        <f aca="false">IF(J86&gt;=0.75,20,ROUND(J86*100/75*10,1)*2)</f>
        <v>19.4</v>
      </c>
      <c r="M86" s="18" t="n">
        <f aca="false">L86-I86</f>
        <v>2.6</v>
      </c>
    </row>
    <row r="87" customFormat="false" ht="15" hidden="false" customHeight="false" outlineLevel="0" collapsed="false">
      <c r="A87" s="21" t="n">
        <v>82</v>
      </c>
      <c r="B87" s="21" t="s">
        <v>213</v>
      </c>
      <c r="C87" s="22" t="s">
        <v>214</v>
      </c>
      <c r="D87" s="21" t="s">
        <v>34</v>
      </c>
      <c r="E87" s="23" t="n">
        <v>221</v>
      </c>
      <c r="F87" s="23" t="n">
        <v>127</v>
      </c>
      <c r="G87" s="23" t="n">
        <v>348</v>
      </c>
      <c r="H87" s="24" t="n">
        <v>64</v>
      </c>
      <c r="I87" s="24" t="n">
        <f aca="false">IF(H87&gt;=75,20,ROUND(H87/75*10,1)*2)</f>
        <v>17</v>
      </c>
      <c r="J87" s="25" t="n">
        <f aca="false">(E87+Summary!$G$11)/(G87+Summary!$G$11)</f>
        <v>0.73036093418259</v>
      </c>
      <c r="K87" s="26" t="n">
        <f aca="false">J87*100-H87</f>
        <v>9.03609341825901</v>
      </c>
      <c r="L87" s="24" t="n">
        <f aca="false">IF(J87&gt;=0.75,20,ROUND(J87*100/75*10,1)*2)</f>
        <v>19.4</v>
      </c>
      <c r="M87" s="26" t="n">
        <f aca="false">L87-I87</f>
        <v>2.4</v>
      </c>
    </row>
    <row r="88" customFormat="false" ht="15" hidden="false" customHeight="false" outlineLevel="0" collapsed="false">
      <c r="A88" s="15" t="n">
        <v>83</v>
      </c>
      <c r="B88" s="15" t="s">
        <v>215</v>
      </c>
      <c r="C88" s="19" t="s">
        <v>216</v>
      </c>
      <c r="D88" s="15" t="s">
        <v>34</v>
      </c>
      <c r="E88" s="20" t="n">
        <v>221</v>
      </c>
      <c r="F88" s="20" t="n">
        <v>127</v>
      </c>
      <c r="G88" s="20" t="n">
        <v>348</v>
      </c>
      <c r="H88" s="16" t="n">
        <v>64</v>
      </c>
      <c r="I88" s="16" t="n">
        <f aca="false">IF(H88&gt;=75,20,ROUND(H88/75*10,1)*2)</f>
        <v>17</v>
      </c>
      <c r="J88" s="17" t="n">
        <f aca="false">(E88+Summary!$G$11)/(G88+Summary!$G$11)</f>
        <v>0.73036093418259</v>
      </c>
      <c r="K88" s="18" t="n">
        <f aca="false">J88*100-H88</f>
        <v>9.03609341825901</v>
      </c>
      <c r="L88" s="16" t="n">
        <f aca="false">IF(J88&gt;=0.75,20,ROUND(J88*100/75*10,1)*2)</f>
        <v>19.4</v>
      </c>
      <c r="M88" s="18" t="n">
        <f aca="false">L88-I88</f>
        <v>2.4</v>
      </c>
    </row>
    <row r="89" customFormat="false" ht="15" hidden="false" customHeight="false" outlineLevel="0" collapsed="false">
      <c r="A89" s="21" t="n">
        <v>84</v>
      </c>
      <c r="B89" s="21" t="s">
        <v>217</v>
      </c>
      <c r="C89" s="22" t="s">
        <v>218</v>
      </c>
      <c r="D89" s="21" t="s">
        <v>34</v>
      </c>
      <c r="E89" s="23" t="n">
        <v>221</v>
      </c>
      <c r="F89" s="23" t="n">
        <v>127</v>
      </c>
      <c r="G89" s="23" t="n">
        <v>348</v>
      </c>
      <c r="H89" s="24" t="n">
        <v>64</v>
      </c>
      <c r="I89" s="24" t="n">
        <f aca="false">IF(H89&gt;=75,20,ROUND(H89/75*10,1)*2)</f>
        <v>17</v>
      </c>
      <c r="J89" s="25" t="n">
        <f aca="false">(E89+Summary!$G$11)/(G89+Summary!$G$11)</f>
        <v>0.73036093418259</v>
      </c>
      <c r="K89" s="26" t="n">
        <f aca="false">J89*100-H89</f>
        <v>9.03609341825901</v>
      </c>
      <c r="L89" s="24" t="n">
        <f aca="false">IF(J89&gt;=0.75,20,ROUND(J89*100/75*10,1)*2)</f>
        <v>19.4</v>
      </c>
      <c r="M89" s="26" t="n">
        <f aca="false">L89-I89</f>
        <v>2.4</v>
      </c>
    </row>
    <row r="90" customFormat="false" ht="15" hidden="false" customHeight="false" outlineLevel="0" collapsed="false">
      <c r="A90" s="15" t="n">
        <v>85</v>
      </c>
      <c r="B90" s="15" t="s">
        <v>219</v>
      </c>
      <c r="C90" s="19" t="s">
        <v>220</v>
      </c>
      <c r="D90" s="15" t="s">
        <v>34</v>
      </c>
      <c r="E90" s="20" t="n">
        <v>221</v>
      </c>
      <c r="F90" s="20" t="n">
        <v>127</v>
      </c>
      <c r="G90" s="20" t="n">
        <v>348</v>
      </c>
      <c r="H90" s="16" t="n">
        <v>64</v>
      </c>
      <c r="I90" s="16" t="n">
        <f aca="false">IF(H90&gt;=75,20,ROUND(H90/75*10,1)*2)</f>
        <v>17</v>
      </c>
      <c r="J90" s="17" t="n">
        <f aca="false">(E90+Summary!$G$11)/(G90+Summary!$G$11)</f>
        <v>0.73036093418259</v>
      </c>
      <c r="K90" s="18" t="n">
        <f aca="false">J90*100-H90</f>
        <v>9.03609341825901</v>
      </c>
      <c r="L90" s="16" t="n">
        <f aca="false">IF(J90&gt;=0.75,20,ROUND(J90*100/75*10,1)*2)</f>
        <v>19.4</v>
      </c>
      <c r="M90" s="18" t="n">
        <f aca="false">L90-I90</f>
        <v>2.4</v>
      </c>
    </row>
    <row r="91" customFormat="false" ht="15" hidden="false" customHeight="false" outlineLevel="0" collapsed="false">
      <c r="A91" s="21" t="n">
        <v>86</v>
      </c>
      <c r="B91" s="21" t="s">
        <v>221</v>
      </c>
      <c r="C91" s="22" t="s">
        <v>222</v>
      </c>
      <c r="D91" s="21" t="s">
        <v>34</v>
      </c>
      <c r="E91" s="23" t="n">
        <v>222</v>
      </c>
      <c r="F91" s="23" t="n">
        <v>126</v>
      </c>
      <c r="G91" s="23" t="n">
        <v>348</v>
      </c>
      <c r="H91" s="24" t="n">
        <v>64</v>
      </c>
      <c r="I91" s="24" t="n">
        <f aca="false">IF(H91&gt;=75,20,ROUND(H91/75*10,1)*2)</f>
        <v>17</v>
      </c>
      <c r="J91" s="25" t="n">
        <f aca="false">(E91+Summary!$G$11)/(G91+Summary!$G$11)</f>
        <v>0.732484076433121</v>
      </c>
      <c r="K91" s="26" t="n">
        <f aca="false">J91*100-H91</f>
        <v>9.24840764331209</v>
      </c>
      <c r="L91" s="24" t="n">
        <f aca="false">IF(J91&gt;=0.75,20,ROUND(J91*100/75*10,1)*2)</f>
        <v>19.6</v>
      </c>
      <c r="M91" s="26" t="n">
        <f aca="false">L91-I91</f>
        <v>2.6</v>
      </c>
    </row>
    <row r="92" customFormat="false" ht="15" hidden="false" customHeight="false" outlineLevel="0" collapsed="false">
      <c r="A92" s="15" t="n">
        <v>87</v>
      </c>
      <c r="B92" s="15" t="s">
        <v>223</v>
      </c>
      <c r="C92" s="19" t="s">
        <v>224</v>
      </c>
      <c r="D92" s="15" t="s">
        <v>34</v>
      </c>
      <c r="E92" s="20" t="n">
        <v>226</v>
      </c>
      <c r="F92" s="20" t="n">
        <v>122</v>
      </c>
      <c r="G92" s="20" t="n">
        <v>348</v>
      </c>
      <c r="H92" s="16" t="n">
        <v>65</v>
      </c>
      <c r="I92" s="16" t="n">
        <f aca="false">IF(H92&gt;=75,20,ROUND(H92/75*10,1)*2)</f>
        <v>17.4</v>
      </c>
      <c r="J92" s="17" t="n">
        <f aca="false">(E92+Summary!$G$11)/(G92+Summary!$G$11)</f>
        <v>0.740976645435244</v>
      </c>
      <c r="K92" s="18" t="n">
        <f aca="false">J92*100-H92</f>
        <v>9.09766454352442</v>
      </c>
      <c r="L92" s="16" t="n">
        <f aca="false">IF(J92&gt;=0.75,20,ROUND(J92*100/75*10,1)*2)</f>
        <v>19.8</v>
      </c>
      <c r="M92" s="18" t="n">
        <f aca="false">L92-I92</f>
        <v>2.4</v>
      </c>
    </row>
    <row r="93" customFormat="false" ht="15" hidden="false" customHeight="false" outlineLevel="0" collapsed="false">
      <c r="A93" s="21" t="n">
        <v>88</v>
      </c>
      <c r="B93" s="21" t="s">
        <v>225</v>
      </c>
      <c r="C93" s="22" t="s">
        <v>226</v>
      </c>
      <c r="D93" s="21" t="s">
        <v>34</v>
      </c>
      <c r="E93" s="23" t="n">
        <v>226</v>
      </c>
      <c r="F93" s="23" t="n">
        <v>122</v>
      </c>
      <c r="G93" s="23" t="n">
        <v>348</v>
      </c>
      <c r="H93" s="24" t="n">
        <v>65</v>
      </c>
      <c r="I93" s="24" t="n">
        <f aca="false">IF(H93&gt;=75,20,ROUND(H93/75*10,1)*2)</f>
        <v>17.4</v>
      </c>
      <c r="J93" s="25" t="n">
        <f aca="false">(E93+Summary!$G$11)/(G93+Summary!$G$11)</f>
        <v>0.740976645435244</v>
      </c>
      <c r="K93" s="26" t="n">
        <f aca="false">J93*100-H93</f>
        <v>9.09766454352442</v>
      </c>
      <c r="L93" s="24" t="n">
        <f aca="false">IF(J93&gt;=0.75,20,ROUND(J93*100/75*10,1)*2)</f>
        <v>19.8</v>
      </c>
      <c r="M93" s="26" t="n">
        <f aca="false">L93-I93</f>
        <v>2.4</v>
      </c>
    </row>
    <row r="94" customFormat="false" ht="15" hidden="false" customHeight="false" outlineLevel="0" collapsed="false">
      <c r="A94" s="15" t="n">
        <v>89</v>
      </c>
      <c r="B94" s="15" t="s">
        <v>227</v>
      </c>
      <c r="C94" s="19" t="s">
        <v>228</v>
      </c>
      <c r="D94" s="15" t="s">
        <v>34</v>
      </c>
      <c r="E94" s="20" t="n">
        <v>227</v>
      </c>
      <c r="F94" s="20" t="n">
        <v>121</v>
      </c>
      <c r="G94" s="20" t="n">
        <v>348</v>
      </c>
      <c r="H94" s="16" t="n">
        <v>65</v>
      </c>
      <c r="I94" s="16" t="n">
        <f aca="false">IF(H94&gt;=75,20,ROUND(H94/75*10,1)*2)</f>
        <v>17.4</v>
      </c>
      <c r="J94" s="17" t="n">
        <f aca="false">(E94+Summary!$G$11)/(G94+Summary!$G$11)</f>
        <v>0.743099787685775</v>
      </c>
      <c r="K94" s="18" t="n">
        <f aca="false">J94*100-H94</f>
        <v>9.30997876857749</v>
      </c>
      <c r="L94" s="16" t="n">
        <f aca="false">IF(J94&gt;=0.75,20,ROUND(J94*100/75*10,1)*2)</f>
        <v>19.8</v>
      </c>
      <c r="M94" s="18" t="n">
        <f aca="false">L94-I94</f>
        <v>2.4</v>
      </c>
    </row>
    <row r="95" customFormat="false" ht="15" hidden="false" customHeight="false" outlineLevel="0" collapsed="false">
      <c r="A95" s="21" t="n">
        <v>90</v>
      </c>
      <c r="B95" s="21" t="s">
        <v>229</v>
      </c>
      <c r="C95" s="22" t="s">
        <v>230</v>
      </c>
      <c r="D95" s="21" t="s">
        <v>34</v>
      </c>
      <c r="E95" s="23" t="n">
        <v>225</v>
      </c>
      <c r="F95" s="23" t="n">
        <v>123</v>
      </c>
      <c r="G95" s="23" t="n">
        <v>348</v>
      </c>
      <c r="H95" s="24" t="n">
        <v>65</v>
      </c>
      <c r="I95" s="24" t="n">
        <f aca="false">IF(H95&gt;=75,20,ROUND(H95/75*10,1)*2)</f>
        <v>17.4</v>
      </c>
      <c r="J95" s="25" t="n">
        <f aca="false">(E95+Summary!$G$11)/(G95+Summary!$G$11)</f>
        <v>0.738853503184713</v>
      </c>
      <c r="K95" s="26" t="n">
        <f aca="false">J95*100-H95</f>
        <v>8.88535031847134</v>
      </c>
      <c r="L95" s="24" t="n">
        <f aca="false">IF(J95&gt;=0.75,20,ROUND(J95*100/75*10,1)*2)</f>
        <v>19.8</v>
      </c>
      <c r="M95" s="26" t="n">
        <f aca="false">L95-I95</f>
        <v>2.4</v>
      </c>
    </row>
    <row r="96" customFormat="false" ht="15" hidden="false" customHeight="false" outlineLevel="0" collapsed="false">
      <c r="A96" s="15" t="n">
        <v>91</v>
      </c>
      <c r="B96" s="15" t="s">
        <v>231</v>
      </c>
      <c r="C96" s="19" t="s">
        <v>232</v>
      </c>
      <c r="D96" s="15" t="s">
        <v>34</v>
      </c>
      <c r="E96" s="20" t="n">
        <v>225</v>
      </c>
      <c r="F96" s="20" t="n">
        <v>123</v>
      </c>
      <c r="G96" s="20" t="n">
        <v>348</v>
      </c>
      <c r="H96" s="16" t="n">
        <v>65</v>
      </c>
      <c r="I96" s="16" t="n">
        <f aca="false">IF(H96&gt;=75,20,ROUND(H96/75*10,1)*2)</f>
        <v>17.4</v>
      </c>
      <c r="J96" s="17" t="n">
        <f aca="false">(E96+Summary!$G$11)/(G96+Summary!$G$11)</f>
        <v>0.738853503184713</v>
      </c>
      <c r="K96" s="18" t="n">
        <f aca="false">J96*100-H96</f>
        <v>8.88535031847134</v>
      </c>
      <c r="L96" s="16" t="n">
        <f aca="false">IF(J96&gt;=0.75,20,ROUND(J96*100/75*10,1)*2)</f>
        <v>19.8</v>
      </c>
      <c r="M96" s="18" t="n">
        <f aca="false">L96-I96</f>
        <v>2.4</v>
      </c>
    </row>
    <row r="97" customFormat="false" ht="15" hidden="false" customHeight="false" outlineLevel="0" collapsed="false">
      <c r="A97" s="21" t="n">
        <v>92</v>
      </c>
      <c r="B97" s="21" t="s">
        <v>233</v>
      </c>
      <c r="C97" s="22" t="s">
        <v>234</v>
      </c>
      <c r="D97" s="21" t="s">
        <v>34</v>
      </c>
      <c r="E97" s="23" t="n">
        <v>229</v>
      </c>
      <c r="F97" s="23" t="n">
        <v>119</v>
      </c>
      <c r="G97" s="23" t="n">
        <v>348</v>
      </c>
      <c r="H97" s="24" t="n">
        <v>66</v>
      </c>
      <c r="I97" s="24" t="n">
        <f aca="false">IF(H97&gt;=75,20,ROUND(H97/75*10,1)*2)</f>
        <v>17.6</v>
      </c>
      <c r="J97" s="25" t="n">
        <f aca="false">(E97+Summary!$G$11)/(G97+Summary!$G$11)</f>
        <v>0.747346072186837</v>
      </c>
      <c r="K97" s="26" t="n">
        <f aca="false">J97*100-H97</f>
        <v>8.73460721868365</v>
      </c>
      <c r="L97" s="24" t="n">
        <f aca="false">IF(J97&gt;=0.75,20,ROUND(J97*100/75*10,1)*2)</f>
        <v>20</v>
      </c>
      <c r="M97" s="26" t="n">
        <f aca="false">L97-I97</f>
        <v>2.4</v>
      </c>
    </row>
    <row r="98" customFormat="false" ht="15" hidden="false" customHeight="false" outlineLevel="0" collapsed="false">
      <c r="A98" s="15" t="n">
        <v>93</v>
      </c>
      <c r="B98" s="15" t="s">
        <v>235</v>
      </c>
      <c r="C98" s="19" t="s">
        <v>236</v>
      </c>
      <c r="D98" s="15" t="s">
        <v>34</v>
      </c>
      <c r="E98" s="20" t="n">
        <v>228</v>
      </c>
      <c r="F98" s="20" t="n">
        <v>120</v>
      </c>
      <c r="G98" s="20" t="n">
        <v>348</v>
      </c>
      <c r="H98" s="16" t="n">
        <v>66</v>
      </c>
      <c r="I98" s="16" t="n">
        <f aca="false">IF(H98&gt;=75,20,ROUND(H98/75*10,1)*2)</f>
        <v>17.6</v>
      </c>
      <c r="J98" s="17" t="n">
        <f aca="false">(E98+Summary!$G$11)/(G98+Summary!$G$11)</f>
        <v>0.745222929936306</v>
      </c>
      <c r="K98" s="18" t="n">
        <f aca="false">J98*100-H98</f>
        <v>8.52229299363057</v>
      </c>
      <c r="L98" s="16" t="n">
        <f aca="false">IF(J98&gt;=0.75,20,ROUND(J98*100/75*10,1)*2)</f>
        <v>19.8</v>
      </c>
      <c r="M98" s="18" t="n">
        <f aca="false">L98-I98</f>
        <v>2.2</v>
      </c>
    </row>
    <row r="99" customFormat="false" ht="15" hidden="false" customHeight="false" outlineLevel="0" collapsed="false">
      <c r="A99" s="21" t="n">
        <v>94</v>
      </c>
      <c r="B99" s="21" t="s">
        <v>237</v>
      </c>
      <c r="C99" s="22" t="s">
        <v>238</v>
      </c>
      <c r="D99" s="21" t="s">
        <v>34</v>
      </c>
      <c r="E99" s="23" t="n">
        <v>228</v>
      </c>
      <c r="F99" s="23" t="n">
        <v>120</v>
      </c>
      <c r="G99" s="23" t="n">
        <v>348</v>
      </c>
      <c r="H99" s="24" t="n">
        <v>66</v>
      </c>
      <c r="I99" s="24" t="n">
        <f aca="false">IF(H99&gt;=75,20,ROUND(H99/75*10,1)*2)</f>
        <v>17.6</v>
      </c>
      <c r="J99" s="25" t="n">
        <f aca="false">(E99+Summary!$G$11)/(G99+Summary!$G$11)</f>
        <v>0.745222929936306</v>
      </c>
      <c r="K99" s="26" t="n">
        <f aca="false">J99*100-H99</f>
        <v>8.52229299363057</v>
      </c>
      <c r="L99" s="24" t="n">
        <f aca="false">IF(J99&gt;=0.75,20,ROUND(J99*100/75*10,1)*2)</f>
        <v>19.8</v>
      </c>
      <c r="M99" s="26" t="n">
        <f aca="false">L99-I99</f>
        <v>2.2</v>
      </c>
    </row>
    <row r="100" customFormat="false" ht="15" hidden="false" customHeight="false" outlineLevel="0" collapsed="false">
      <c r="A100" s="15" t="n">
        <v>95</v>
      </c>
      <c r="B100" s="15" t="s">
        <v>239</v>
      </c>
      <c r="C100" s="19" t="s">
        <v>240</v>
      </c>
      <c r="D100" s="15" t="s">
        <v>34</v>
      </c>
      <c r="E100" s="20" t="n">
        <v>230</v>
      </c>
      <c r="F100" s="20" t="n">
        <v>118</v>
      </c>
      <c r="G100" s="20" t="n">
        <v>348</v>
      </c>
      <c r="H100" s="16" t="n">
        <v>66</v>
      </c>
      <c r="I100" s="16" t="n">
        <f aca="false">IF(H100&gt;=75,20,ROUND(H100/75*10,1)*2)</f>
        <v>17.6</v>
      </c>
      <c r="J100" s="17" t="n">
        <f aca="false">(E100+Summary!$G$11)/(G100+Summary!$G$11)</f>
        <v>0.749469214437367</v>
      </c>
      <c r="K100" s="18" t="n">
        <f aca="false">J100*100-H100</f>
        <v>8.94692144373673</v>
      </c>
      <c r="L100" s="16" t="n">
        <f aca="false">IF(J100&gt;=0.75,20,ROUND(J100*100/75*10,1)*2)</f>
        <v>20</v>
      </c>
      <c r="M100" s="18" t="n">
        <f aca="false">L100-I100</f>
        <v>2.4</v>
      </c>
    </row>
    <row r="101" customFormat="false" ht="15" hidden="false" customHeight="false" outlineLevel="0" collapsed="false">
      <c r="A101" s="21" t="n">
        <v>96</v>
      </c>
      <c r="B101" s="21" t="s">
        <v>241</v>
      </c>
      <c r="C101" s="22" t="s">
        <v>242</v>
      </c>
      <c r="D101" s="21" t="s">
        <v>34</v>
      </c>
      <c r="E101" s="23" t="n">
        <v>232</v>
      </c>
      <c r="F101" s="23" t="n">
        <v>116</v>
      </c>
      <c r="G101" s="23" t="n">
        <v>348</v>
      </c>
      <c r="H101" s="24" t="n">
        <v>67</v>
      </c>
      <c r="I101" s="24" t="n">
        <f aca="false">IF(H101&gt;=75,20,ROUND(H101/75*10,1)*2)</f>
        <v>17.8</v>
      </c>
      <c r="J101" s="25" t="n">
        <f aca="false">(E101+Summary!$G$11)/(G101+Summary!$G$11)</f>
        <v>0.753715498938429</v>
      </c>
      <c r="K101" s="26" t="n">
        <f aca="false">J101*100-H101</f>
        <v>8.3715498938429</v>
      </c>
      <c r="L101" s="24" t="n">
        <f aca="false">IF(J101&gt;=0.75,20,ROUND(J101*100/75*10,1)*2)</f>
        <v>20</v>
      </c>
      <c r="M101" s="26" t="n">
        <f aca="false">L101-I101</f>
        <v>2.2</v>
      </c>
    </row>
    <row r="102" customFormat="false" ht="15" hidden="false" customHeight="false" outlineLevel="0" collapsed="false">
      <c r="A102" s="15" t="n">
        <v>97</v>
      </c>
      <c r="B102" s="15" t="s">
        <v>243</v>
      </c>
      <c r="C102" s="19" t="s">
        <v>244</v>
      </c>
      <c r="D102" s="15" t="s">
        <v>34</v>
      </c>
      <c r="E102" s="20" t="n">
        <v>237</v>
      </c>
      <c r="F102" s="20" t="n">
        <v>111</v>
      </c>
      <c r="G102" s="20" t="n">
        <v>348</v>
      </c>
      <c r="H102" s="16" t="n">
        <v>68</v>
      </c>
      <c r="I102" s="16" t="n">
        <f aca="false">IF(H102&gt;=75,20,ROUND(H102/75*10,1)*2)</f>
        <v>18.2</v>
      </c>
      <c r="J102" s="17" t="n">
        <f aca="false">(E102+Summary!$G$11)/(G102+Summary!$G$11)</f>
        <v>0.764331210191083</v>
      </c>
      <c r="K102" s="18" t="n">
        <f aca="false">J102*100-H102</f>
        <v>8.43312101910829</v>
      </c>
      <c r="L102" s="16" t="n">
        <f aca="false">IF(J102&gt;=0.75,20,ROUND(J102*100/75*10,1)*2)</f>
        <v>20</v>
      </c>
      <c r="M102" s="18" t="n">
        <f aca="false">L102-I102</f>
        <v>1.8</v>
      </c>
    </row>
    <row r="103" customFormat="false" ht="15" hidden="false" customHeight="false" outlineLevel="0" collapsed="false">
      <c r="A103" s="21" t="n">
        <v>98</v>
      </c>
      <c r="B103" s="21" t="s">
        <v>245</v>
      </c>
      <c r="C103" s="22" t="s">
        <v>246</v>
      </c>
      <c r="D103" s="21" t="s">
        <v>34</v>
      </c>
      <c r="E103" s="23" t="n">
        <v>238</v>
      </c>
      <c r="F103" s="23" t="n">
        <v>110</v>
      </c>
      <c r="G103" s="23" t="n">
        <v>348</v>
      </c>
      <c r="H103" s="24" t="n">
        <v>68</v>
      </c>
      <c r="I103" s="24" t="n">
        <f aca="false">IF(H103&gt;=75,20,ROUND(H103/75*10,1)*2)</f>
        <v>18.2</v>
      </c>
      <c r="J103" s="25" t="n">
        <f aca="false">(E103+Summary!$G$11)/(G103+Summary!$G$11)</f>
        <v>0.766454352441614</v>
      </c>
      <c r="K103" s="26" t="n">
        <f aca="false">J103*100-H103</f>
        <v>8.64543524416136</v>
      </c>
      <c r="L103" s="24" t="n">
        <f aca="false">IF(J103&gt;=0.75,20,ROUND(J103*100/75*10,1)*2)</f>
        <v>20</v>
      </c>
      <c r="M103" s="26" t="n">
        <f aca="false">L103-I103</f>
        <v>1.8</v>
      </c>
    </row>
    <row r="104" customFormat="false" ht="15" hidden="false" customHeight="false" outlineLevel="0" collapsed="false">
      <c r="A104" s="15" t="n">
        <v>99</v>
      </c>
      <c r="B104" s="15" t="s">
        <v>247</v>
      </c>
      <c r="C104" s="19" t="s">
        <v>248</v>
      </c>
      <c r="D104" s="15" t="s">
        <v>34</v>
      </c>
      <c r="E104" s="20" t="n">
        <v>235</v>
      </c>
      <c r="F104" s="20" t="n">
        <v>113</v>
      </c>
      <c r="G104" s="20" t="n">
        <v>348</v>
      </c>
      <c r="H104" s="16" t="n">
        <v>68</v>
      </c>
      <c r="I104" s="16" t="n">
        <f aca="false">IF(H104&gt;=75,20,ROUND(H104/75*10,1)*2)</f>
        <v>18.2</v>
      </c>
      <c r="J104" s="17" t="n">
        <f aca="false">(E104+Summary!$G$11)/(G104+Summary!$G$11)</f>
        <v>0.760084925690021</v>
      </c>
      <c r="K104" s="18" t="n">
        <f aca="false">J104*100-H104</f>
        <v>8.00849256900213</v>
      </c>
      <c r="L104" s="16" t="n">
        <f aca="false">IF(J104&gt;=0.75,20,ROUND(J104*100/75*10,1)*2)</f>
        <v>20</v>
      </c>
      <c r="M104" s="18" t="n">
        <f aca="false">L104-I104</f>
        <v>1.8</v>
      </c>
    </row>
    <row r="105" customFormat="false" ht="15" hidden="false" customHeight="false" outlineLevel="0" collapsed="false">
      <c r="A105" s="21" t="n">
        <v>100</v>
      </c>
      <c r="B105" s="21" t="s">
        <v>249</v>
      </c>
      <c r="C105" s="22" t="s">
        <v>250</v>
      </c>
      <c r="D105" s="21" t="s">
        <v>34</v>
      </c>
      <c r="E105" s="23" t="n">
        <v>241</v>
      </c>
      <c r="F105" s="23" t="n">
        <v>107</v>
      </c>
      <c r="G105" s="23" t="n">
        <v>348</v>
      </c>
      <c r="H105" s="24" t="n">
        <v>69</v>
      </c>
      <c r="I105" s="24" t="n">
        <f aca="false">IF(H105&gt;=75,20,ROUND(H105/75*10,1)*2)</f>
        <v>18.4</v>
      </c>
      <c r="J105" s="25" t="n">
        <f aca="false">(E105+Summary!$G$11)/(G105+Summary!$G$11)</f>
        <v>0.772823779193206</v>
      </c>
      <c r="K105" s="26" t="n">
        <f aca="false">J105*100-H105</f>
        <v>8.2823779193206</v>
      </c>
      <c r="L105" s="24" t="n">
        <f aca="false">IF(J105&gt;=0.75,20,ROUND(J105*100/75*10,1)*2)</f>
        <v>20</v>
      </c>
      <c r="M105" s="26" t="n">
        <f aca="false">L105-I105</f>
        <v>1.6</v>
      </c>
    </row>
    <row r="106" customFormat="false" ht="15" hidden="false" customHeight="false" outlineLevel="0" collapsed="false">
      <c r="A106" s="15" t="n">
        <v>101</v>
      </c>
      <c r="B106" s="15" t="s">
        <v>251</v>
      </c>
      <c r="C106" s="19" t="s">
        <v>252</v>
      </c>
      <c r="D106" s="15" t="s">
        <v>34</v>
      </c>
      <c r="E106" s="20" t="n">
        <v>244</v>
      </c>
      <c r="F106" s="20" t="n">
        <v>104</v>
      </c>
      <c r="G106" s="20" t="n">
        <v>348</v>
      </c>
      <c r="H106" s="16" t="n">
        <v>70</v>
      </c>
      <c r="I106" s="16" t="n">
        <f aca="false">IF(H106&gt;=75,20,ROUND(H106/75*10,1)*2)</f>
        <v>18.6</v>
      </c>
      <c r="J106" s="17" t="n">
        <f aca="false">(E106+Summary!$G$11)/(G106+Summary!$G$11)</f>
        <v>0.779193205944798</v>
      </c>
      <c r="K106" s="18" t="n">
        <f aca="false">J106*100-H106</f>
        <v>7.91932059447984</v>
      </c>
      <c r="L106" s="16" t="n">
        <f aca="false">IF(J106&gt;=0.75,20,ROUND(J106*100/75*10,1)*2)</f>
        <v>20</v>
      </c>
      <c r="M106" s="18" t="n">
        <f aca="false">L106-I106</f>
        <v>1.4</v>
      </c>
    </row>
    <row r="107" customFormat="false" ht="15" hidden="false" customHeight="false" outlineLevel="0" collapsed="false">
      <c r="A107" s="21" t="n">
        <v>102</v>
      </c>
      <c r="B107" s="21" t="s">
        <v>253</v>
      </c>
      <c r="C107" s="22" t="s">
        <v>254</v>
      </c>
      <c r="D107" s="21" t="s">
        <v>34</v>
      </c>
      <c r="E107" s="23" t="n">
        <v>245</v>
      </c>
      <c r="F107" s="23" t="n">
        <v>103</v>
      </c>
      <c r="G107" s="23" t="n">
        <v>348</v>
      </c>
      <c r="H107" s="24" t="n">
        <v>70</v>
      </c>
      <c r="I107" s="24" t="n">
        <f aca="false">IF(H107&gt;=75,20,ROUND(H107/75*10,1)*2)</f>
        <v>18.6</v>
      </c>
      <c r="J107" s="25" t="n">
        <f aca="false">(E107+Summary!$G$11)/(G107+Summary!$G$11)</f>
        <v>0.781316348195329</v>
      </c>
      <c r="K107" s="26" t="n">
        <f aca="false">J107*100-H107</f>
        <v>8.13163481953292</v>
      </c>
      <c r="L107" s="24" t="n">
        <f aca="false">IF(J107&gt;=0.75,20,ROUND(J107*100/75*10,1)*2)</f>
        <v>20</v>
      </c>
      <c r="M107" s="26" t="n">
        <f aca="false">L107-I107</f>
        <v>1.4</v>
      </c>
    </row>
    <row r="108" customFormat="false" ht="15" hidden="false" customHeight="false" outlineLevel="0" collapsed="false">
      <c r="A108" s="15" t="n">
        <v>103</v>
      </c>
      <c r="B108" s="15" t="s">
        <v>255</v>
      </c>
      <c r="C108" s="19" t="s">
        <v>256</v>
      </c>
      <c r="D108" s="15" t="s">
        <v>34</v>
      </c>
      <c r="E108" s="20" t="n">
        <v>242</v>
      </c>
      <c r="F108" s="20" t="n">
        <v>106</v>
      </c>
      <c r="G108" s="20" t="n">
        <v>348</v>
      </c>
      <c r="H108" s="16" t="n">
        <v>70</v>
      </c>
      <c r="I108" s="16" t="n">
        <f aca="false">IF(H108&gt;=75,20,ROUND(H108/75*10,1)*2)</f>
        <v>18.6</v>
      </c>
      <c r="J108" s="17" t="n">
        <f aca="false">(E108+Summary!$G$11)/(G108+Summary!$G$11)</f>
        <v>0.774946921443737</v>
      </c>
      <c r="K108" s="18" t="n">
        <f aca="false">J108*100-H108</f>
        <v>7.49469214437367</v>
      </c>
      <c r="L108" s="16" t="n">
        <f aca="false">IF(J108&gt;=0.75,20,ROUND(J108*100/75*10,1)*2)</f>
        <v>20</v>
      </c>
      <c r="M108" s="18" t="n">
        <f aca="false">L108-I108</f>
        <v>1.4</v>
      </c>
    </row>
    <row r="109" customFormat="false" ht="15" hidden="false" customHeight="false" outlineLevel="0" collapsed="false">
      <c r="A109" s="21" t="n">
        <v>104</v>
      </c>
      <c r="B109" s="21" t="s">
        <v>257</v>
      </c>
      <c r="C109" s="22" t="s">
        <v>258</v>
      </c>
      <c r="D109" s="21" t="s">
        <v>34</v>
      </c>
      <c r="E109" s="23" t="n">
        <v>248</v>
      </c>
      <c r="F109" s="23" t="n">
        <v>100</v>
      </c>
      <c r="G109" s="23" t="n">
        <v>348</v>
      </c>
      <c r="H109" s="24" t="n">
        <v>71</v>
      </c>
      <c r="I109" s="24" t="n">
        <f aca="false">IF(H109&gt;=75,20,ROUND(H109/75*10,1)*2)</f>
        <v>19</v>
      </c>
      <c r="J109" s="25" t="n">
        <f aca="false">(E109+Summary!$G$11)/(G109+Summary!$G$11)</f>
        <v>0.787685774946922</v>
      </c>
      <c r="K109" s="26" t="n">
        <f aca="false">J109*100-H109</f>
        <v>7.76857749469215</v>
      </c>
      <c r="L109" s="24" t="n">
        <f aca="false">IF(J109&gt;=0.75,20,ROUND(J109*100/75*10,1)*2)</f>
        <v>20</v>
      </c>
      <c r="M109" s="26" t="n">
        <f aca="false">L109-I109</f>
        <v>1</v>
      </c>
    </row>
    <row r="110" customFormat="false" ht="15" hidden="false" customHeight="false" outlineLevel="0" collapsed="false">
      <c r="A110" s="15" t="n">
        <v>105</v>
      </c>
      <c r="B110" s="15" t="s">
        <v>259</v>
      </c>
      <c r="C110" s="19" t="s">
        <v>260</v>
      </c>
      <c r="D110" s="15" t="s">
        <v>34</v>
      </c>
      <c r="E110" s="20" t="n">
        <v>248</v>
      </c>
      <c r="F110" s="20" t="n">
        <v>100</v>
      </c>
      <c r="G110" s="20" t="n">
        <v>348</v>
      </c>
      <c r="H110" s="16" t="n">
        <v>71</v>
      </c>
      <c r="I110" s="16" t="n">
        <f aca="false">IF(H110&gt;=75,20,ROUND(H110/75*10,1)*2)</f>
        <v>19</v>
      </c>
      <c r="J110" s="17" t="n">
        <f aca="false">(E110+Summary!$G$11)/(G110+Summary!$G$11)</f>
        <v>0.787685774946922</v>
      </c>
      <c r="K110" s="18" t="n">
        <f aca="false">J110*100-H110</f>
        <v>7.76857749469215</v>
      </c>
      <c r="L110" s="16" t="n">
        <f aca="false">IF(J110&gt;=0.75,20,ROUND(J110*100/75*10,1)*2)</f>
        <v>20</v>
      </c>
      <c r="M110" s="18" t="n">
        <f aca="false">L110-I110</f>
        <v>1</v>
      </c>
    </row>
    <row r="111" customFormat="false" ht="15" hidden="false" customHeight="false" outlineLevel="0" collapsed="false">
      <c r="A111" s="21" t="n">
        <v>106</v>
      </c>
      <c r="B111" s="21" t="s">
        <v>261</v>
      </c>
      <c r="C111" s="22" t="s">
        <v>262</v>
      </c>
      <c r="D111" s="21" t="s">
        <v>34</v>
      </c>
      <c r="E111" s="23" t="n">
        <v>249</v>
      </c>
      <c r="F111" s="23" t="n">
        <v>99</v>
      </c>
      <c r="G111" s="23" t="n">
        <v>348</v>
      </c>
      <c r="H111" s="24" t="n">
        <v>72</v>
      </c>
      <c r="I111" s="24" t="n">
        <f aca="false">IF(H111&gt;=75,20,ROUND(H111/75*10,1)*2)</f>
        <v>19.2</v>
      </c>
      <c r="J111" s="25" t="n">
        <f aca="false">(E111+Summary!$G$11)/(G111+Summary!$G$11)</f>
        <v>0.789808917197452</v>
      </c>
      <c r="K111" s="26" t="n">
        <f aca="false">J111*100-H111</f>
        <v>6.98089171974523</v>
      </c>
      <c r="L111" s="24" t="n">
        <f aca="false">IF(J111&gt;=0.75,20,ROUND(J111*100/75*10,1)*2)</f>
        <v>20</v>
      </c>
      <c r="M111" s="26" t="n">
        <f aca="false">L111-I111</f>
        <v>0.800000000000001</v>
      </c>
    </row>
    <row r="112" customFormat="false" ht="15" hidden="false" customHeight="false" outlineLevel="0" collapsed="false">
      <c r="A112" s="15" t="n">
        <v>107</v>
      </c>
      <c r="B112" s="15" t="s">
        <v>263</v>
      </c>
      <c r="C112" s="19" t="s">
        <v>264</v>
      </c>
      <c r="D112" s="15" t="s">
        <v>34</v>
      </c>
      <c r="E112" s="20" t="n">
        <v>252</v>
      </c>
      <c r="F112" s="20" t="n">
        <v>96</v>
      </c>
      <c r="G112" s="20" t="n">
        <v>348</v>
      </c>
      <c r="H112" s="16" t="n">
        <v>72</v>
      </c>
      <c r="I112" s="16" t="n">
        <f aca="false">IF(H112&gt;=75,20,ROUND(H112/75*10,1)*2)</f>
        <v>19.2</v>
      </c>
      <c r="J112" s="17" t="n">
        <f aca="false">(E112+Summary!$G$11)/(G112+Summary!$G$11)</f>
        <v>0.796178343949045</v>
      </c>
      <c r="K112" s="18" t="n">
        <f aca="false">J112*100-H112</f>
        <v>7.61783439490446</v>
      </c>
      <c r="L112" s="16" t="n">
        <f aca="false">IF(J112&gt;=0.75,20,ROUND(J112*100/75*10,1)*2)</f>
        <v>20</v>
      </c>
      <c r="M112" s="18" t="n">
        <f aca="false">L112-I112</f>
        <v>0.800000000000001</v>
      </c>
    </row>
    <row r="113" customFormat="false" ht="15" hidden="false" customHeight="false" outlineLevel="0" collapsed="false">
      <c r="A113" s="21" t="n">
        <v>108</v>
      </c>
      <c r="B113" s="21" t="s">
        <v>265</v>
      </c>
      <c r="C113" s="22" t="s">
        <v>266</v>
      </c>
      <c r="D113" s="21" t="s">
        <v>34</v>
      </c>
      <c r="E113" s="23" t="n">
        <v>249</v>
      </c>
      <c r="F113" s="23" t="n">
        <v>99</v>
      </c>
      <c r="G113" s="23" t="n">
        <v>348</v>
      </c>
      <c r="H113" s="24" t="n">
        <v>72</v>
      </c>
      <c r="I113" s="24" t="n">
        <f aca="false">IF(H113&gt;=75,20,ROUND(H113/75*10,1)*2)</f>
        <v>19.2</v>
      </c>
      <c r="J113" s="25" t="n">
        <f aca="false">(E113+Summary!$G$11)/(G113+Summary!$G$11)</f>
        <v>0.789808917197452</v>
      </c>
      <c r="K113" s="26" t="n">
        <f aca="false">J113*100-H113</f>
        <v>6.98089171974523</v>
      </c>
      <c r="L113" s="24" t="n">
        <f aca="false">IF(J113&gt;=0.75,20,ROUND(J113*100/75*10,1)*2)</f>
        <v>20</v>
      </c>
      <c r="M113" s="26" t="n">
        <f aca="false">L113-I113</f>
        <v>0.800000000000001</v>
      </c>
    </row>
    <row r="114" customFormat="false" ht="15" hidden="false" customHeight="false" outlineLevel="0" collapsed="false">
      <c r="A114" s="15" t="n">
        <v>109</v>
      </c>
      <c r="B114" s="15" t="s">
        <v>267</v>
      </c>
      <c r="C114" s="19" t="s">
        <v>268</v>
      </c>
      <c r="D114" s="15" t="s">
        <v>34</v>
      </c>
      <c r="E114" s="20" t="n">
        <v>257</v>
      </c>
      <c r="F114" s="20" t="n">
        <v>91</v>
      </c>
      <c r="G114" s="20" t="n">
        <v>348</v>
      </c>
      <c r="H114" s="16" t="n">
        <v>74</v>
      </c>
      <c r="I114" s="16" t="n">
        <f aca="false">IF(H114&gt;=75,20,ROUND(H114/75*10,1)*2)</f>
        <v>19.8</v>
      </c>
      <c r="J114" s="17" t="n">
        <f aca="false">(E114+Summary!$G$11)/(G114+Summary!$G$11)</f>
        <v>0.806794055201699</v>
      </c>
      <c r="K114" s="18" t="n">
        <f aca="false">J114*100-H114</f>
        <v>6.67940552016985</v>
      </c>
      <c r="L114" s="16" t="n">
        <f aca="false">IF(J114&gt;=0.75,20,ROUND(J114*100/75*10,1)*2)</f>
        <v>20</v>
      </c>
      <c r="M114" s="18" t="n">
        <f aca="false">L114-I114</f>
        <v>0.199999999999999</v>
      </c>
    </row>
    <row r="115" customFormat="false" ht="15" hidden="false" customHeight="false" outlineLevel="0" collapsed="false">
      <c r="A115" s="21" t="n">
        <v>110</v>
      </c>
      <c r="B115" s="21" t="s">
        <v>269</v>
      </c>
      <c r="C115" s="22" t="s">
        <v>270</v>
      </c>
      <c r="D115" s="21" t="s">
        <v>34</v>
      </c>
      <c r="E115" s="23" t="n">
        <v>256</v>
      </c>
      <c r="F115" s="23" t="n">
        <v>92</v>
      </c>
      <c r="G115" s="23" t="n">
        <v>348</v>
      </c>
      <c r="H115" s="24" t="n">
        <v>74</v>
      </c>
      <c r="I115" s="24" t="n">
        <f aca="false">IF(H115&gt;=75,20,ROUND(H115/75*10,1)*2)</f>
        <v>19.8</v>
      </c>
      <c r="J115" s="25" t="n">
        <f aca="false">(E115+Summary!$G$11)/(G115+Summary!$G$11)</f>
        <v>0.804670912951168</v>
      </c>
      <c r="K115" s="26" t="n">
        <f aca="false">J115*100-H115</f>
        <v>6.46709129511677</v>
      </c>
      <c r="L115" s="24" t="n">
        <f aca="false">IF(J115&gt;=0.75,20,ROUND(J115*100/75*10,1)*2)</f>
        <v>20</v>
      </c>
      <c r="M115" s="26" t="n">
        <f aca="false">L115-I115</f>
        <v>0.199999999999999</v>
      </c>
    </row>
    <row r="116" customFormat="false" ht="15" hidden="false" customHeight="false" outlineLevel="0" collapsed="false">
      <c r="A116" s="15" t="n">
        <v>111</v>
      </c>
      <c r="B116" s="15" t="s">
        <v>271</v>
      </c>
      <c r="C116" s="19" t="s">
        <v>272</v>
      </c>
      <c r="D116" s="15" t="s">
        <v>34</v>
      </c>
      <c r="E116" s="20" t="n">
        <v>256</v>
      </c>
      <c r="F116" s="20" t="n">
        <v>92</v>
      </c>
      <c r="G116" s="20" t="n">
        <v>348</v>
      </c>
      <c r="H116" s="16" t="n">
        <v>74</v>
      </c>
      <c r="I116" s="16" t="n">
        <f aca="false">IF(H116&gt;=75,20,ROUND(H116/75*10,1)*2)</f>
        <v>19.8</v>
      </c>
      <c r="J116" s="17" t="n">
        <f aca="false">(E116+Summary!$G$11)/(G116+Summary!$G$11)</f>
        <v>0.804670912951168</v>
      </c>
      <c r="K116" s="18" t="n">
        <f aca="false">J116*100-H116</f>
        <v>6.46709129511677</v>
      </c>
      <c r="L116" s="16" t="n">
        <f aca="false">IF(J116&gt;=0.75,20,ROUND(J116*100/75*10,1)*2)</f>
        <v>20</v>
      </c>
      <c r="M116" s="18" t="n">
        <f aca="false">L116-I116</f>
        <v>0.199999999999999</v>
      </c>
    </row>
    <row r="117" customFormat="false" ht="15" hidden="false" customHeight="false" outlineLevel="0" collapsed="false">
      <c r="A117" s="21" t="n">
        <v>112</v>
      </c>
      <c r="B117" s="21" t="s">
        <v>273</v>
      </c>
      <c r="C117" s="22" t="s">
        <v>274</v>
      </c>
      <c r="D117" s="21" t="s">
        <v>34</v>
      </c>
      <c r="E117" s="23" t="n">
        <v>260</v>
      </c>
      <c r="F117" s="23" t="n">
        <v>88</v>
      </c>
      <c r="G117" s="23" t="n">
        <v>348</v>
      </c>
      <c r="H117" s="24" t="n">
        <v>75</v>
      </c>
      <c r="I117" s="24" t="n">
        <f aca="false">IF(H117&gt;=75,20,ROUND(H117/75*10,1)*2)</f>
        <v>20</v>
      </c>
      <c r="J117" s="25" t="n">
        <f aca="false">(E117+Summary!$G$11)/(G117+Summary!$G$11)</f>
        <v>0.813163481953291</v>
      </c>
      <c r="K117" s="26" t="n">
        <f aca="false">J117*100-H117</f>
        <v>6.31634819532908</v>
      </c>
      <c r="L117" s="24" t="n">
        <f aca="false">IF(J117&gt;=0.75,20,ROUND(J117*100/75*10,1)*2)</f>
        <v>20</v>
      </c>
      <c r="M117" s="26" t="n">
        <f aca="false">L117-I117</f>
        <v>0</v>
      </c>
    </row>
    <row r="118" customFormat="false" ht="15" hidden="false" customHeight="false" outlineLevel="0" collapsed="false">
      <c r="A118" s="15" t="n">
        <v>113</v>
      </c>
      <c r="B118" s="15" t="s">
        <v>275</v>
      </c>
      <c r="C118" s="19" t="s">
        <v>276</v>
      </c>
      <c r="D118" s="15" t="s">
        <v>34</v>
      </c>
      <c r="E118" s="20" t="n">
        <v>264</v>
      </c>
      <c r="F118" s="20" t="n">
        <v>84</v>
      </c>
      <c r="G118" s="20" t="n">
        <v>348</v>
      </c>
      <c r="H118" s="16" t="n">
        <v>76</v>
      </c>
      <c r="I118" s="16" t="n">
        <f aca="false">IF(H118&gt;=75,20,ROUND(H118/75*10,1)*2)</f>
        <v>20</v>
      </c>
      <c r="J118" s="17" t="n">
        <f aca="false">(E118+Summary!$G$11)/(G118+Summary!$G$11)</f>
        <v>0.821656050955414</v>
      </c>
      <c r="K118" s="18" t="n">
        <f aca="false">J118*100-H118</f>
        <v>6.16560509554141</v>
      </c>
      <c r="L118" s="16" t="n">
        <f aca="false">IF(J118&gt;=0.75,20,ROUND(J118*100/75*10,1)*2)</f>
        <v>20</v>
      </c>
      <c r="M118" s="18" t="n">
        <f aca="false">L118-I118</f>
        <v>0</v>
      </c>
    </row>
    <row r="119" customFormat="false" ht="15" hidden="false" customHeight="false" outlineLevel="0" collapsed="false">
      <c r="A119" s="21" t="n">
        <v>114</v>
      </c>
      <c r="B119" s="21" t="s">
        <v>277</v>
      </c>
      <c r="C119" s="22" t="s">
        <v>278</v>
      </c>
      <c r="D119" s="21" t="s">
        <v>34</v>
      </c>
      <c r="E119" s="23" t="n">
        <v>266</v>
      </c>
      <c r="F119" s="23" t="n">
        <v>82</v>
      </c>
      <c r="G119" s="23" t="n">
        <v>348</v>
      </c>
      <c r="H119" s="24" t="n">
        <v>76</v>
      </c>
      <c r="I119" s="24" t="n">
        <f aca="false">IF(H119&gt;=75,20,ROUND(H119/75*10,1)*2)</f>
        <v>20</v>
      </c>
      <c r="J119" s="25" t="n">
        <f aca="false">(E119+Summary!$G$11)/(G119+Summary!$G$11)</f>
        <v>0.825902335456476</v>
      </c>
      <c r="K119" s="26" t="n">
        <f aca="false">J119*100-H119</f>
        <v>6.59023354564756</v>
      </c>
      <c r="L119" s="24" t="n">
        <f aca="false">IF(J119&gt;=0.75,20,ROUND(J119*100/75*10,1)*2)</f>
        <v>20</v>
      </c>
      <c r="M119" s="26" t="n">
        <f aca="false">L119-I119</f>
        <v>0</v>
      </c>
    </row>
    <row r="120" customFormat="false" ht="15" hidden="false" customHeight="false" outlineLevel="0" collapsed="false">
      <c r="A120" s="15" t="n">
        <v>115</v>
      </c>
      <c r="B120" s="15" t="s">
        <v>279</v>
      </c>
      <c r="C120" s="19" t="s">
        <v>280</v>
      </c>
      <c r="D120" s="15" t="s">
        <v>34</v>
      </c>
      <c r="E120" s="20" t="n">
        <v>263</v>
      </c>
      <c r="F120" s="20" t="n">
        <v>85</v>
      </c>
      <c r="G120" s="20" t="n">
        <v>348</v>
      </c>
      <c r="H120" s="16" t="n">
        <v>76</v>
      </c>
      <c r="I120" s="16" t="n">
        <f aca="false">IF(H120&gt;=75,20,ROUND(H120/75*10,1)*2)</f>
        <v>20</v>
      </c>
      <c r="J120" s="17" t="n">
        <f aca="false">(E120+Summary!$G$11)/(G120+Summary!$G$11)</f>
        <v>0.819532908704883</v>
      </c>
      <c r="K120" s="18" t="n">
        <f aca="false">J120*100-H120</f>
        <v>5.95329087048833</v>
      </c>
      <c r="L120" s="16" t="n">
        <f aca="false">IF(J120&gt;=0.75,20,ROUND(J120*100/75*10,1)*2)</f>
        <v>20</v>
      </c>
      <c r="M120" s="18" t="n">
        <f aca="false">L120-I120</f>
        <v>0</v>
      </c>
    </row>
    <row r="121" customFormat="false" ht="15" hidden="false" customHeight="false" outlineLevel="0" collapsed="false">
      <c r="A121" s="21" t="n">
        <v>116</v>
      </c>
      <c r="B121" s="21" t="s">
        <v>281</v>
      </c>
      <c r="C121" s="22" t="s">
        <v>282</v>
      </c>
      <c r="D121" s="21" t="s">
        <v>34</v>
      </c>
      <c r="E121" s="23" t="n">
        <v>263</v>
      </c>
      <c r="F121" s="23" t="n">
        <v>85</v>
      </c>
      <c r="G121" s="23" t="n">
        <v>348</v>
      </c>
      <c r="H121" s="24" t="n">
        <v>76</v>
      </c>
      <c r="I121" s="24" t="n">
        <f aca="false">IF(H121&gt;=75,20,ROUND(H121/75*10,1)*2)</f>
        <v>20</v>
      </c>
      <c r="J121" s="25" t="n">
        <f aca="false">(E121+Summary!$G$11)/(G121+Summary!$G$11)</f>
        <v>0.819532908704883</v>
      </c>
      <c r="K121" s="26" t="n">
        <f aca="false">J121*100-H121</f>
        <v>5.95329087048833</v>
      </c>
      <c r="L121" s="24" t="n">
        <f aca="false">IF(J121&gt;=0.75,20,ROUND(J121*100/75*10,1)*2)</f>
        <v>20</v>
      </c>
      <c r="M121" s="26" t="n">
        <f aca="false">L121-I121</f>
        <v>0</v>
      </c>
    </row>
    <row r="122" customFormat="false" ht="15" hidden="false" customHeight="false" outlineLevel="0" collapsed="false">
      <c r="A122" s="15" t="n">
        <v>117</v>
      </c>
      <c r="B122" s="15" t="s">
        <v>283</v>
      </c>
      <c r="C122" s="19" t="s">
        <v>284</v>
      </c>
      <c r="D122" s="15" t="s">
        <v>34</v>
      </c>
      <c r="E122" s="20" t="n">
        <v>264</v>
      </c>
      <c r="F122" s="20" t="n">
        <v>84</v>
      </c>
      <c r="G122" s="20" t="n">
        <v>348</v>
      </c>
      <c r="H122" s="16" t="n">
        <v>76</v>
      </c>
      <c r="I122" s="16" t="n">
        <f aca="false">IF(H122&gt;=75,20,ROUND(H122/75*10,1)*2)</f>
        <v>20</v>
      </c>
      <c r="J122" s="17" t="n">
        <f aca="false">(E122+Summary!$G$11)/(G122+Summary!$G$11)</f>
        <v>0.821656050955414</v>
      </c>
      <c r="K122" s="18" t="n">
        <f aca="false">J122*100-H122</f>
        <v>6.16560509554141</v>
      </c>
      <c r="L122" s="16" t="n">
        <f aca="false">IF(J122&gt;=0.75,20,ROUND(J122*100/75*10,1)*2)</f>
        <v>20</v>
      </c>
      <c r="M122" s="18" t="n">
        <f aca="false">L122-I122</f>
        <v>0</v>
      </c>
    </row>
    <row r="123" customFormat="false" ht="15" hidden="false" customHeight="false" outlineLevel="0" collapsed="false">
      <c r="A123" s="21" t="n">
        <v>118</v>
      </c>
      <c r="B123" s="21" t="s">
        <v>285</v>
      </c>
      <c r="C123" s="22" t="s">
        <v>286</v>
      </c>
      <c r="D123" s="21" t="s">
        <v>34</v>
      </c>
      <c r="E123" s="23" t="n">
        <v>267</v>
      </c>
      <c r="F123" s="23" t="n">
        <v>81</v>
      </c>
      <c r="G123" s="23" t="n">
        <v>348</v>
      </c>
      <c r="H123" s="24" t="n">
        <v>77</v>
      </c>
      <c r="I123" s="24" t="n">
        <f aca="false">IF(H123&gt;=75,20,ROUND(H123/75*10,1)*2)</f>
        <v>20</v>
      </c>
      <c r="J123" s="25" t="n">
        <f aca="false">(E123+Summary!$G$11)/(G123+Summary!$G$11)</f>
        <v>0.828025477707006</v>
      </c>
      <c r="K123" s="26" t="n">
        <f aca="false">J123*100-H123</f>
        <v>5.80254777070064</v>
      </c>
      <c r="L123" s="24" t="n">
        <f aca="false">IF(J123&gt;=0.75,20,ROUND(J123*100/75*10,1)*2)</f>
        <v>20</v>
      </c>
      <c r="M123" s="26" t="n">
        <f aca="false">L123-I123</f>
        <v>0</v>
      </c>
    </row>
    <row r="124" customFormat="false" ht="15" hidden="false" customHeight="false" outlineLevel="0" collapsed="false">
      <c r="A124" s="15" t="n">
        <v>119</v>
      </c>
      <c r="B124" s="15" t="s">
        <v>287</v>
      </c>
      <c r="C124" s="19" t="s">
        <v>288</v>
      </c>
      <c r="D124" s="15" t="s">
        <v>34</v>
      </c>
      <c r="E124" s="20" t="n">
        <v>271</v>
      </c>
      <c r="F124" s="20" t="n">
        <v>77</v>
      </c>
      <c r="G124" s="20" t="n">
        <v>348</v>
      </c>
      <c r="H124" s="16" t="n">
        <v>78</v>
      </c>
      <c r="I124" s="16" t="n">
        <f aca="false">IF(H124&gt;=75,20,ROUND(H124/75*10,1)*2)</f>
        <v>20</v>
      </c>
      <c r="J124" s="17" t="n">
        <f aca="false">(E124+Summary!$G$11)/(G124+Summary!$G$11)</f>
        <v>0.83651804670913</v>
      </c>
      <c r="K124" s="18" t="n">
        <f aca="false">J124*100-H124</f>
        <v>5.65180467091295</v>
      </c>
      <c r="L124" s="16" t="n">
        <f aca="false">IF(J124&gt;=0.75,20,ROUND(J124*100/75*10,1)*2)</f>
        <v>20</v>
      </c>
      <c r="M124" s="18" t="n">
        <f aca="false">L124-I124</f>
        <v>0</v>
      </c>
    </row>
    <row r="125" customFormat="false" ht="15" hidden="false" customHeight="false" outlineLevel="0" collapsed="false">
      <c r="A125" s="21" t="n">
        <v>120</v>
      </c>
      <c r="B125" s="21" t="s">
        <v>289</v>
      </c>
      <c r="C125" s="22" t="s">
        <v>290</v>
      </c>
      <c r="D125" s="21" t="s">
        <v>34</v>
      </c>
      <c r="E125" s="23" t="n">
        <v>278</v>
      </c>
      <c r="F125" s="23" t="n">
        <v>70</v>
      </c>
      <c r="G125" s="23" t="n">
        <v>348</v>
      </c>
      <c r="H125" s="24" t="n">
        <v>80</v>
      </c>
      <c r="I125" s="24" t="n">
        <f aca="false">IF(H125&gt;=75,20,ROUND(H125/75*10,1)*2)</f>
        <v>20</v>
      </c>
      <c r="J125" s="25" t="n">
        <f aca="false">(E125+Summary!$G$11)/(G125+Summary!$G$11)</f>
        <v>0.851380042462845</v>
      </c>
      <c r="K125" s="26" t="n">
        <f aca="false">J125*100-H125</f>
        <v>5.13800424628451</v>
      </c>
      <c r="L125" s="24" t="n">
        <f aca="false">IF(J125&gt;=0.75,20,ROUND(J125*100/75*10,1)*2)</f>
        <v>20</v>
      </c>
      <c r="M125" s="26" t="n">
        <f aca="false">L125-I125</f>
        <v>0</v>
      </c>
    </row>
    <row r="126" customFormat="false" ht="15" hidden="false" customHeight="false" outlineLevel="0" collapsed="false">
      <c r="A126" s="15" t="n">
        <v>121</v>
      </c>
      <c r="B126" s="15" t="s">
        <v>291</v>
      </c>
      <c r="C126" s="19" t="s">
        <v>292</v>
      </c>
      <c r="D126" s="15" t="s">
        <v>34</v>
      </c>
      <c r="E126" s="20" t="n">
        <v>278</v>
      </c>
      <c r="F126" s="20" t="n">
        <v>70</v>
      </c>
      <c r="G126" s="20" t="n">
        <v>348</v>
      </c>
      <c r="H126" s="16" t="n">
        <v>80</v>
      </c>
      <c r="I126" s="16" t="n">
        <f aca="false">IF(H126&gt;=75,20,ROUND(H126/75*10,1)*2)</f>
        <v>20</v>
      </c>
      <c r="J126" s="17" t="n">
        <f aca="false">(E126+Summary!$G$11)/(G126+Summary!$G$11)</f>
        <v>0.851380042462845</v>
      </c>
      <c r="K126" s="18" t="n">
        <f aca="false">J126*100-H126</f>
        <v>5.13800424628451</v>
      </c>
      <c r="L126" s="16" t="n">
        <f aca="false">IF(J126&gt;=0.75,20,ROUND(J126*100/75*10,1)*2)</f>
        <v>20</v>
      </c>
      <c r="M126" s="18" t="n">
        <f aca="false">L126-I126</f>
        <v>0</v>
      </c>
    </row>
    <row r="127" customFormat="false" ht="15" hidden="false" customHeight="false" outlineLevel="0" collapsed="false">
      <c r="A127" s="21" t="n">
        <v>122</v>
      </c>
      <c r="B127" s="21" t="s">
        <v>293</v>
      </c>
      <c r="C127" s="22" t="s">
        <v>294</v>
      </c>
      <c r="D127" s="21" t="s">
        <v>34</v>
      </c>
      <c r="E127" s="23" t="n">
        <v>283</v>
      </c>
      <c r="F127" s="23" t="n">
        <v>65</v>
      </c>
      <c r="G127" s="23" t="n">
        <v>348</v>
      </c>
      <c r="H127" s="24" t="n">
        <v>81</v>
      </c>
      <c r="I127" s="24" t="n">
        <f aca="false">IF(H127&gt;=75,20,ROUND(H127/75*10,1)*2)</f>
        <v>20</v>
      </c>
      <c r="J127" s="25" t="n">
        <f aca="false">(E127+Summary!$G$11)/(G127+Summary!$G$11)</f>
        <v>0.861995753715499</v>
      </c>
      <c r="K127" s="26" t="n">
        <f aca="false">J127*100-H127</f>
        <v>5.1995753715499</v>
      </c>
      <c r="L127" s="24" t="n">
        <f aca="false">IF(J127&gt;=0.75,20,ROUND(J127*100/75*10,1)*2)</f>
        <v>20</v>
      </c>
      <c r="M127" s="26" t="n">
        <f aca="false">L127-I127</f>
        <v>0</v>
      </c>
    </row>
    <row r="128" customFormat="false" ht="15" hidden="false" customHeight="false" outlineLevel="0" collapsed="false">
      <c r="A128" s="15" t="n">
        <v>123</v>
      </c>
      <c r="B128" s="15" t="s">
        <v>295</v>
      </c>
      <c r="C128" s="19" t="s">
        <v>296</v>
      </c>
      <c r="D128" s="15" t="s">
        <v>34</v>
      </c>
      <c r="E128" s="20" t="n">
        <v>302</v>
      </c>
      <c r="F128" s="20" t="n">
        <v>46</v>
      </c>
      <c r="G128" s="20" t="n">
        <v>348</v>
      </c>
      <c r="H128" s="16" t="n">
        <v>87</v>
      </c>
      <c r="I128" s="16" t="n">
        <f aca="false">IF(H128&gt;=75,20,ROUND(H128/75*10,1)*2)</f>
        <v>20</v>
      </c>
      <c r="J128" s="17" t="n">
        <f aca="false">(E128+Summary!$G$11)/(G128+Summary!$G$11)</f>
        <v>0.902335456475584</v>
      </c>
      <c r="K128" s="18" t="n">
        <f aca="false">J128*100-H128</f>
        <v>3.23354564755839</v>
      </c>
      <c r="L128" s="16" t="n">
        <f aca="false">IF(J128&gt;=0.75,20,ROUND(J128*100/75*10,1)*2)</f>
        <v>20</v>
      </c>
      <c r="M128" s="18" t="n">
        <f aca="false">L128-I128</f>
        <v>0</v>
      </c>
    </row>
    <row r="129" customFormat="false" ht="15" hidden="false" customHeight="false" outlineLevel="0" collapsed="false">
      <c r="A129" s="21" t="n">
        <v>124</v>
      </c>
      <c r="B129" s="21" t="s">
        <v>297</v>
      </c>
      <c r="C129" s="22" t="s">
        <v>298</v>
      </c>
      <c r="D129" s="21" t="s">
        <v>35</v>
      </c>
      <c r="E129" s="23" t="n">
        <v>2</v>
      </c>
      <c r="F129" s="23" t="n">
        <v>346</v>
      </c>
      <c r="G129" s="23" t="n">
        <v>348</v>
      </c>
      <c r="H129" s="24" t="n">
        <v>1</v>
      </c>
      <c r="I129" s="24" t="n">
        <f aca="false">IF(H129&gt;=75,20,ROUND(H129/75*10,1)*2)</f>
        <v>0.2</v>
      </c>
      <c r="J129" s="25" t="n">
        <f aca="false">(E129+Summary!$G$11)/(G129+Summary!$G$11)</f>
        <v>0.265392781316348</v>
      </c>
      <c r="K129" s="26" t="n">
        <f aca="false">J129*100-H129</f>
        <v>25.5392781316348</v>
      </c>
      <c r="L129" s="24" t="n">
        <f aca="false">IF(J129&gt;=0.75,20,ROUND(J129*100/75*10,1)*2)</f>
        <v>7</v>
      </c>
      <c r="M129" s="26" t="n">
        <f aca="false">L129-I129</f>
        <v>6.8</v>
      </c>
    </row>
    <row r="130" customFormat="false" ht="15" hidden="false" customHeight="false" outlineLevel="0" collapsed="false">
      <c r="A130" s="15" t="n">
        <v>125</v>
      </c>
      <c r="B130" s="15" t="s">
        <v>299</v>
      </c>
      <c r="C130" s="19" t="s">
        <v>300</v>
      </c>
      <c r="D130" s="15" t="s">
        <v>35</v>
      </c>
      <c r="E130" s="20" t="n">
        <v>5</v>
      </c>
      <c r="F130" s="20" t="n">
        <v>343</v>
      </c>
      <c r="G130" s="20" t="n">
        <v>348</v>
      </c>
      <c r="H130" s="16" t="n">
        <v>1</v>
      </c>
      <c r="I130" s="16" t="n">
        <f aca="false">IF(H130&gt;=75,20,ROUND(H130/75*10,1)*2)</f>
        <v>0.2</v>
      </c>
      <c r="J130" s="17" t="n">
        <f aca="false">(E130+Summary!$G$11)/(G130+Summary!$G$11)</f>
        <v>0.271762208067941</v>
      </c>
      <c r="K130" s="18" t="n">
        <f aca="false">J130*100-H130</f>
        <v>26.1762208067941</v>
      </c>
      <c r="L130" s="16" t="n">
        <f aca="false">IF(J130&gt;=0.75,20,ROUND(J130*100/75*10,1)*2)</f>
        <v>7.2</v>
      </c>
      <c r="M130" s="18" t="n">
        <f aca="false">L130-I130</f>
        <v>7</v>
      </c>
    </row>
    <row r="131" customFormat="false" ht="15" hidden="false" customHeight="false" outlineLevel="0" collapsed="false">
      <c r="A131" s="21" t="n">
        <v>126</v>
      </c>
      <c r="B131" s="21" t="s">
        <v>301</v>
      </c>
      <c r="C131" s="22" t="s">
        <v>54</v>
      </c>
      <c r="D131" s="21" t="s">
        <v>35</v>
      </c>
      <c r="E131" s="23" t="n">
        <v>5</v>
      </c>
      <c r="F131" s="23" t="n">
        <v>343</v>
      </c>
      <c r="G131" s="23" t="n">
        <v>348</v>
      </c>
      <c r="H131" s="24" t="n">
        <v>1</v>
      </c>
      <c r="I131" s="24" t="n">
        <f aca="false">IF(H131&gt;=75,20,ROUND(H131/75*10,1)*2)</f>
        <v>0.2</v>
      </c>
      <c r="J131" s="25" t="n">
        <f aca="false">(E131+Summary!$G$11)/(G131+Summary!$G$11)</f>
        <v>0.271762208067941</v>
      </c>
      <c r="K131" s="26" t="n">
        <f aca="false">J131*100-H131</f>
        <v>26.1762208067941</v>
      </c>
      <c r="L131" s="24" t="n">
        <f aca="false">IF(J131&gt;=0.75,20,ROUND(J131*100/75*10,1)*2)</f>
        <v>7.2</v>
      </c>
      <c r="M131" s="26" t="n">
        <f aca="false">L131-I131</f>
        <v>7</v>
      </c>
    </row>
    <row r="132" customFormat="false" ht="15" hidden="false" customHeight="false" outlineLevel="0" collapsed="false">
      <c r="A132" s="15" t="n">
        <v>127</v>
      </c>
      <c r="B132" s="15" t="s">
        <v>302</v>
      </c>
      <c r="C132" s="19" t="s">
        <v>303</v>
      </c>
      <c r="D132" s="15" t="s">
        <v>35</v>
      </c>
      <c r="E132" s="20" t="n">
        <v>4</v>
      </c>
      <c r="F132" s="20" t="n">
        <v>344</v>
      </c>
      <c r="G132" s="20" t="n">
        <v>348</v>
      </c>
      <c r="H132" s="16" t="n">
        <v>1</v>
      </c>
      <c r="I132" s="16" t="n">
        <f aca="false">IF(H132&gt;=75,20,ROUND(H132/75*10,1)*2)</f>
        <v>0.2</v>
      </c>
      <c r="J132" s="17" t="n">
        <f aca="false">(E132+Summary!$G$11)/(G132+Summary!$G$11)</f>
        <v>0.26963906581741</v>
      </c>
      <c r="K132" s="18" t="n">
        <f aca="false">J132*100-H132</f>
        <v>25.963906581741</v>
      </c>
      <c r="L132" s="16" t="n">
        <f aca="false">IF(J132&gt;=0.75,20,ROUND(J132*100/75*10,1)*2)</f>
        <v>7.2</v>
      </c>
      <c r="M132" s="18" t="n">
        <f aca="false">L132-I132</f>
        <v>7</v>
      </c>
    </row>
    <row r="133" customFormat="false" ht="15" hidden="false" customHeight="false" outlineLevel="0" collapsed="false">
      <c r="A133" s="21" t="n">
        <v>128</v>
      </c>
      <c r="B133" s="21" t="s">
        <v>304</v>
      </c>
      <c r="C133" s="22" t="s">
        <v>305</v>
      </c>
      <c r="D133" s="21" t="s">
        <v>35</v>
      </c>
      <c r="E133" s="23" t="n">
        <v>7</v>
      </c>
      <c r="F133" s="23" t="n">
        <v>341</v>
      </c>
      <c r="G133" s="23" t="n">
        <v>348</v>
      </c>
      <c r="H133" s="24" t="n">
        <v>2</v>
      </c>
      <c r="I133" s="24" t="n">
        <f aca="false">IF(H133&gt;=75,20,ROUND(H133/75*10,1)*2)</f>
        <v>0.6</v>
      </c>
      <c r="J133" s="25" t="n">
        <f aca="false">(E133+Summary!$G$11)/(G133+Summary!$G$11)</f>
        <v>0.276008492569002</v>
      </c>
      <c r="K133" s="26" t="n">
        <f aca="false">J133*100-H133</f>
        <v>25.6008492569002</v>
      </c>
      <c r="L133" s="24" t="n">
        <f aca="false">IF(J133&gt;=0.75,20,ROUND(J133*100/75*10,1)*2)</f>
        <v>7.4</v>
      </c>
      <c r="M133" s="26" t="n">
        <f aca="false">L133-I133</f>
        <v>6.8</v>
      </c>
    </row>
    <row r="134" customFormat="false" ht="15" hidden="false" customHeight="false" outlineLevel="0" collapsed="false">
      <c r="A134" s="15" t="n">
        <v>129</v>
      </c>
      <c r="B134" s="15" t="s">
        <v>306</v>
      </c>
      <c r="C134" s="19" t="s">
        <v>307</v>
      </c>
      <c r="D134" s="15" t="s">
        <v>35</v>
      </c>
      <c r="E134" s="20" t="n">
        <v>19</v>
      </c>
      <c r="F134" s="20" t="n">
        <v>329</v>
      </c>
      <c r="G134" s="20" t="n">
        <v>348</v>
      </c>
      <c r="H134" s="16" t="n">
        <v>5</v>
      </c>
      <c r="I134" s="16" t="n">
        <f aca="false">IF(H134&gt;=75,20,ROUND(H134/75*10,1)*2)</f>
        <v>1.4</v>
      </c>
      <c r="J134" s="17" t="n">
        <f aca="false">(E134+Summary!$G$11)/(G134+Summary!$G$11)</f>
        <v>0.301486199575372</v>
      </c>
      <c r="K134" s="18" t="n">
        <f aca="false">J134*100-H134</f>
        <v>25.1486199575372</v>
      </c>
      <c r="L134" s="16" t="n">
        <f aca="false">IF(J134&gt;=0.75,20,ROUND(J134*100/75*10,1)*2)</f>
        <v>8</v>
      </c>
      <c r="M134" s="18" t="n">
        <f aca="false">L134-I134</f>
        <v>6.6</v>
      </c>
    </row>
    <row r="135" customFormat="false" ht="15" hidden="false" customHeight="false" outlineLevel="0" collapsed="false">
      <c r="A135" s="21" t="n">
        <v>130</v>
      </c>
      <c r="B135" s="21" t="s">
        <v>308</v>
      </c>
      <c r="C135" s="22" t="s">
        <v>309</v>
      </c>
      <c r="D135" s="21" t="s">
        <v>35</v>
      </c>
      <c r="E135" s="23" t="n">
        <v>23</v>
      </c>
      <c r="F135" s="23" t="n">
        <v>325</v>
      </c>
      <c r="G135" s="23" t="n">
        <v>348</v>
      </c>
      <c r="H135" s="24" t="n">
        <v>7</v>
      </c>
      <c r="I135" s="24" t="n">
        <f aca="false">IF(H135&gt;=75,20,ROUND(H135/75*10,1)*2)</f>
        <v>1.8</v>
      </c>
      <c r="J135" s="25" t="n">
        <f aca="false">(E135+Summary!$G$11)/(G135+Summary!$G$11)</f>
        <v>0.309978768577495</v>
      </c>
      <c r="K135" s="26" t="n">
        <f aca="false">J135*100-H135</f>
        <v>23.9978768577495</v>
      </c>
      <c r="L135" s="24" t="n">
        <f aca="false">IF(J135&gt;=0.75,20,ROUND(J135*100/75*10,1)*2)</f>
        <v>8.2</v>
      </c>
      <c r="M135" s="26" t="n">
        <f aca="false">L135-I135</f>
        <v>6.4</v>
      </c>
    </row>
    <row r="136" customFormat="false" ht="15" hidden="false" customHeight="false" outlineLevel="0" collapsed="false">
      <c r="A136" s="15" t="n">
        <v>131</v>
      </c>
      <c r="B136" s="15" t="s">
        <v>310</v>
      </c>
      <c r="C136" s="19" t="s">
        <v>311</v>
      </c>
      <c r="D136" s="15" t="s">
        <v>35</v>
      </c>
      <c r="E136" s="20" t="n">
        <v>30</v>
      </c>
      <c r="F136" s="20" t="n">
        <v>318</v>
      </c>
      <c r="G136" s="20" t="n">
        <v>348</v>
      </c>
      <c r="H136" s="16" t="n">
        <v>9</v>
      </c>
      <c r="I136" s="16" t="n">
        <f aca="false">IF(H136&gt;=75,20,ROUND(H136/75*10,1)*2)</f>
        <v>2.4</v>
      </c>
      <c r="J136" s="17" t="n">
        <f aca="false">(E136+Summary!$G$11)/(G136+Summary!$G$11)</f>
        <v>0.32484076433121</v>
      </c>
      <c r="K136" s="18" t="n">
        <f aca="false">J136*100-H136</f>
        <v>23.484076433121</v>
      </c>
      <c r="L136" s="16" t="n">
        <f aca="false">IF(J136&gt;=0.75,20,ROUND(J136*100/75*10,1)*2)</f>
        <v>8.6</v>
      </c>
      <c r="M136" s="18" t="n">
        <f aca="false">L136-I136</f>
        <v>6.2</v>
      </c>
    </row>
    <row r="137" customFormat="false" ht="15" hidden="false" customHeight="false" outlineLevel="0" collapsed="false">
      <c r="A137" s="21" t="n">
        <v>132</v>
      </c>
      <c r="B137" s="21" t="s">
        <v>312</v>
      </c>
      <c r="C137" s="22" t="s">
        <v>313</v>
      </c>
      <c r="D137" s="21" t="s">
        <v>35</v>
      </c>
      <c r="E137" s="23" t="n">
        <v>34</v>
      </c>
      <c r="F137" s="23" t="n">
        <v>314</v>
      </c>
      <c r="G137" s="23" t="n">
        <v>348</v>
      </c>
      <c r="H137" s="24" t="n">
        <v>10</v>
      </c>
      <c r="I137" s="24" t="n">
        <f aca="false">IF(H137&gt;=75,20,ROUND(H137/75*10,1)*2)</f>
        <v>2.6</v>
      </c>
      <c r="J137" s="25" t="n">
        <f aca="false">(E137+Summary!$G$11)/(G137+Summary!$G$11)</f>
        <v>0.333333333333333</v>
      </c>
      <c r="K137" s="26" t="n">
        <f aca="false">J137*100-H137</f>
        <v>23.3333333333333</v>
      </c>
      <c r="L137" s="24" t="n">
        <f aca="false">IF(J137&gt;=0.75,20,ROUND(J137*100/75*10,1)*2)</f>
        <v>8.8</v>
      </c>
      <c r="M137" s="26" t="n">
        <f aca="false">L137-I137</f>
        <v>6.2</v>
      </c>
    </row>
    <row r="138" customFormat="false" ht="15" hidden="false" customHeight="false" outlineLevel="0" collapsed="false">
      <c r="A138" s="15" t="n">
        <v>133</v>
      </c>
      <c r="B138" s="15" t="s">
        <v>314</v>
      </c>
      <c r="C138" s="19" t="s">
        <v>315</v>
      </c>
      <c r="D138" s="15" t="s">
        <v>35</v>
      </c>
      <c r="E138" s="20" t="n">
        <v>37</v>
      </c>
      <c r="F138" s="20" t="n">
        <v>311</v>
      </c>
      <c r="G138" s="20" t="n">
        <v>348</v>
      </c>
      <c r="H138" s="16" t="n">
        <v>11</v>
      </c>
      <c r="I138" s="16" t="n">
        <f aca="false">IF(H138&gt;=75,20,ROUND(H138/75*10,1)*2)</f>
        <v>3</v>
      </c>
      <c r="J138" s="17" t="n">
        <f aca="false">(E138+Summary!$G$11)/(G138+Summary!$G$11)</f>
        <v>0.339702760084926</v>
      </c>
      <c r="K138" s="18" t="n">
        <f aca="false">J138*100-H138</f>
        <v>22.9702760084926</v>
      </c>
      <c r="L138" s="16" t="n">
        <f aca="false">IF(J138&gt;=0.75,20,ROUND(J138*100/75*10,1)*2)</f>
        <v>9</v>
      </c>
      <c r="M138" s="18" t="n">
        <f aca="false">L138-I138</f>
        <v>6</v>
      </c>
    </row>
    <row r="139" customFormat="false" ht="15" hidden="false" customHeight="false" outlineLevel="0" collapsed="false">
      <c r="A139" s="21" t="n">
        <v>134</v>
      </c>
      <c r="B139" s="21" t="s">
        <v>316</v>
      </c>
      <c r="C139" s="22" t="s">
        <v>317</v>
      </c>
      <c r="D139" s="21" t="s">
        <v>35</v>
      </c>
      <c r="E139" s="23" t="n">
        <v>55</v>
      </c>
      <c r="F139" s="23" t="n">
        <v>293</v>
      </c>
      <c r="G139" s="23" t="n">
        <v>348</v>
      </c>
      <c r="H139" s="24" t="n">
        <v>16</v>
      </c>
      <c r="I139" s="24" t="n">
        <f aca="false">IF(H139&gt;=75,20,ROUND(H139/75*10,1)*2)</f>
        <v>4.2</v>
      </c>
      <c r="J139" s="25" t="n">
        <f aca="false">(E139+Summary!$G$11)/(G139+Summary!$G$11)</f>
        <v>0.37791932059448</v>
      </c>
      <c r="K139" s="26" t="n">
        <f aca="false">J139*100-H139</f>
        <v>21.791932059448</v>
      </c>
      <c r="L139" s="24" t="n">
        <f aca="false">IF(J139&gt;=0.75,20,ROUND(J139*100/75*10,1)*2)</f>
        <v>10</v>
      </c>
      <c r="M139" s="26" t="n">
        <f aca="false">L139-I139</f>
        <v>5.8</v>
      </c>
    </row>
    <row r="140" customFormat="false" ht="15" hidden="false" customHeight="false" outlineLevel="0" collapsed="false">
      <c r="A140" s="15" t="n">
        <v>135</v>
      </c>
      <c r="B140" s="15" t="s">
        <v>318</v>
      </c>
      <c r="C140" s="19" t="s">
        <v>319</v>
      </c>
      <c r="D140" s="15" t="s">
        <v>35</v>
      </c>
      <c r="E140" s="20" t="n">
        <v>89</v>
      </c>
      <c r="F140" s="20" t="n">
        <v>259</v>
      </c>
      <c r="G140" s="20" t="n">
        <v>348</v>
      </c>
      <c r="H140" s="16" t="n">
        <v>26</v>
      </c>
      <c r="I140" s="16" t="n">
        <f aca="false">IF(H140&gt;=75,20,ROUND(H140/75*10,1)*2)</f>
        <v>7</v>
      </c>
      <c r="J140" s="17" t="n">
        <f aca="false">(E140+Summary!$G$11)/(G140+Summary!$G$11)</f>
        <v>0.450106157112527</v>
      </c>
      <c r="K140" s="18" t="n">
        <f aca="false">J140*100-H140</f>
        <v>19.0106157112527</v>
      </c>
      <c r="L140" s="16" t="n">
        <f aca="false">IF(J140&gt;=0.75,20,ROUND(J140*100/75*10,1)*2)</f>
        <v>12</v>
      </c>
      <c r="M140" s="18" t="n">
        <f aca="false">L140-I140</f>
        <v>5</v>
      </c>
    </row>
    <row r="141" customFormat="false" ht="15" hidden="false" customHeight="false" outlineLevel="0" collapsed="false">
      <c r="A141" s="21" t="n">
        <v>136</v>
      </c>
      <c r="B141" s="21" t="s">
        <v>320</v>
      </c>
      <c r="C141" s="22" t="s">
        <v>321</v>
      </c>
      <c r="D141" s="21" t="s">
        <v>35</v>
      </c>
      <c r="E141" s="23" t="n">
        <v>98</v>
      </c>
      <c r="F141" s="23" t="n">
        <v>250</v>
      </c>
      <c r="G141" s="23" t="n">
        <v>348</v>
      </c>
      <c r="H141" s="24" t="n">
        <v>28</v>
      </c>
      <c r="I141" s="24" t="n">
        <f aca="false">IF(H141&gt;=75,20,ROUND(H141/75*10,1)*2)</f>
        <v>7.4</v>
      </c>
      <c r="J141" s="25" t="n">
        <f aca="false">(E141+Summary!$G$11)/(G141+Summary!$G$11)</f>
        <v>0.469214437367304</v>
      </c>
      <c r="K141" s="26" t="n">
        <f aca="false">J141*100-H141</f>
        <v>18.9214437367304</v>
      </c>
      <c r="L141" s="24" t="n">
        <f aca="false">IF(J141&gt;=0.75,20,ROUND(J141*100/75*10,1)*2)</f>
        <v>12.6</v>
      </c>
      <c r="M141" s="26" t="n">
        <f aca="false">L141-I141</f>
        <v>5.2</v>
      </c>
    </row>
    <row r="142" customFormat="false" ht="15" hidden="false" customHeight="false" outlineLevel="0" collapsed="false">
      <c r="A142" s="15" t="n">
        <v>137</v>
      </c>
      <c r="B142" s="15" t="s">
        <v>322</v>
      </c>
      <c r="C142" s="19" t="s">
        <v>323</v>
      </c>
      <c r="D142" s="15" t="s">
        <v>35</v>
      </c>
      <c r="E142" s="20" t="n">
        <v>139</v>
      </c>
      <c r="F142" s="20" t="n">
        <v>209</v>
      </c>
      <c r="G142" s="20" t="n">
        <v>348</v>
      </c>
      <c r="H142" s="16" t="n">
        <v>40</v>
      </c>
      <c r="I142" s="16" t="n">
        <f aca="false">IF(H142&gt;=75,20,ROUND(H142/75*10,1)*2)</f>
        <v>10.6</v>
      </c>
      <c r="J142" s="17" t="n">
        <f aca="false">(E142+Summary!$G$11)/(G142+Summary!$G$11)</f>
        <v>0.556263269639066</v>
      </c>
      <c r="K142" s="18" t="n">
        <f aca="false">J142*100-H142</f>
        <v>15.6263269639066</v>
      </c>
      <c r="L142" s="16" t="n">
        <f aca="false">IF(J142&gt;=0.75,20,ROUND(J142*100/75*10,1)*2)</f>
        <v>14.8</v>
      </c>
      <c r="M142" s="18" t="n">
        <f aca="false">L142-I142</f>
        <v>4.2</v>
      </c>
    </row>
    <row r="143" customFormat="false" ht="15" hidden="false" customHeight="false" outlineLevel="0" collapsed="false">
      <c r="A143" s="21" t="n">
        <v>138</v>
      </c>
      <c r="B143" s="21" t="s">
        <v>324</v>
      </c>
      <c r="C143" s="22" t="s">
        <v>325</v>
      </c>
      <c r="D143" s="21" t="s">
        <v>35</v>
      </c>
      <c r="E143" s="23" t="n">
        <v>175</v>
      </c>
      <c r="F143" s="23" t="n">
        <v>173</v>
      </c>
      <c r="G143" s="23" t="n">
        <v>348</v>
      </c>
      <c r="H143" s="24" t="n">
        <v>50</v>
      </c>
      <c r="I143" s="24" t="n">
        <f aca="false">IF(H143&gt;=75,20,ROUND(H143/75*10,1)*2)</f>
        <v>13.4</v>
      </c>
      <c r="J143" s="25" t="n">
        <f aca="false">(E143+Summary!$G$11)/(G143+Summary!$G$11)</f>
        <v>0.632696390658174</v>
      </c>
      <c r="K143" s="26" t="n">
        <f aca="false">J143*100-H143</f>
        <v>13.2696390658174</v>
      </c>
      <c r="L143" s="24" t="n">
        <f aca="false">IF(J143&gt;=0.75,20,ROUND(J143*100/75*10,1)*2)</f>
        <v>16.8</v>
      </c>
      <c r="M143" s="26" t="n">
        <f aca="false">L143-I143</f>
        <v>3.4</v>
      </c>
    </row>
    <row r="144" customFormat="false" ht="15" hidden="false" customHeight="false" outlineLevel="0" collapsed="false">
      <c r="A144" s="15" t="n">
        <v>139</v>
      </c>
      <c r="B144" s="15" t="s">
        <v>326</v>
      </c>
      <c r="C144" s="19" t="s">
        <v>327</v>
      </c>
      <c r="D144" s="15" t="s">
        <v>35</v>
      </c>
      <c r="E144" s="20" t="n">
        <v>173</v>
      </c>
      <c r="F144" s="20" t="n">
        <v>175</v>
      </c>
      <c r="G144" s="20" t="n">
        <v>348</v>
      </c>
      <c r="H144" s="16" t="n">
        <v>50</v>
      </c>
      <c r="I144" s="16" t="n">
        <f aca="false">IF(H144&gt;=75,20,ROUND(H144/75*10,1)*2)</f>
        <v>13.4</v>
      </c>
      <c r="J144" s="17" t="n">
        <f aca="false">(E144+Summary!$G$11)/(G144+Summary!$G$11)</f>
        <v>0.628450106157113</v>
      </c>
      <c r="K144" s="18" t="n">
        <f aca="false">J144*100-H144</f>
        <v>12.8450106157113</v>
      </c>
      <c r="L144" s="16" t="n">
        <f aca="false">IF(J144&gt;=0.75,20,ROUND(J144*100/75*10,1)*2)</f>
        <v>16.8</v>
      </c>
      <c r="M144" s="18" t="n">
        <f aca="false">L144-I144</f>
        <v>3.4</v>
      </c>
    </row>
    <row r="145" customFormat="false" ht="15" hidden="false" customHeight="false" outlineLevel="0" collapsed="false">
      <c r="A145" s="21" t="n">
        <v>140</v>
      </c>
      <c r="B145" s="21" t="s">
        <v>328</v>
      </c>
      <c r="C145" s="22" t="s">
        <v>329</v>
      </c>
      <c r="D145" s="21" t="s">
        <v>35</v>
      </c>
      <c r="E145" s="23" t="n">
        <v>179</v>
      </c>
      <c r="F145" s="23" t="n">
        <v>169</v>
      </c>
      <c r="G145" s="23" t="n">
        <v>348</v>
      </c>
      <c r="H145" s="24" t="n">
        <v>51</v>
      </c>
      <c r="I145" s="24" t="n">
        <f aca="false">IF(H145&gt;=75,20,ROUND(H145/75*10,1)*2)</f>
        <v>13.6</v>
      </c>
      <c r="J145" s="25" t="n">
        <f aca="false">(E145+Summary!$G$11)/(G145+Summary!$G$11)</f>
        <v>0.641188959660297</v>
      </c>
      <c r="K145" s="26" t="n">
        <f aca="false">J145*100-H145</f>
        <v>13.1188959660297</v>
      </c>
      <c r="L145" s="24" t="n">
        <f aca="false">IF(J145&gt;=0.75,20,ROUND(J145*100/75*10,1)*2)</f>
        <v>17</v>
      </c>
      <c r="M145" s="26" t="n">
        <f aca="false">L145-I145</f>
        <v>3.4</v>
      </c>
    </row>
    <row r="146" customFormat="false" ht="15" hidden="false" customHeight="false" outlineLevel="0" collapsed="false">
      <c r="A146" s="15" t="n">
        <v>141</v>
      </c>
      <c r="B146" s="15" t="s">
        <v>330</v>
      </c>
      <c r="C146" s="19" t="s">
        <v>331</v>
      </c>
      <c r="D146" s="15" t="s">
        <v>35</v>
      </c>
      <c r="E146" s="20" t="n">
        <v>180</v>
      </c>
      <c r="F146" s="20" t="n">
        <v>168</v>
      </c>
      <c r="G146" s="20" t="n">
        <v>348</v>
      </c>
      <c r="H146" s="16" t="n">
        <v>52</v>
      </c>
      <c r="I146" s="16" t="n">
        <f aca="false">IF(H146&gt;=75,20,ROUND(H146/75*10,1)*2)</f>
        <v>13.8</v>
      </c>
      <c r="J146" s="17" t="n">
        <f aca="false">(E146+Summary!$G$11)/(G146+Summary!$G$11)</f>
        <v>0.643312101910828</v>
      </c>
      <c r="K146" s="18" t="n">
        <f aca="false">J146*100-H146</f>
        <v>12.3312101910828</v>
      </c>
      <c r="L146" s="16" t="n">
        <f aca="false">IF(J146&gt;=0.75,20,ROUND(J146*100/75*10,1)*2)</f>
        <v>17.2</v>
      </c>
      <c r="M146" s="18" t="n">
        <f aca="false">L146-I146</f>
        <v>3.4</v>
      </c>
    </row>
    <row r="147" customFormat="false" ht="15" hidden="false" customHeight="false" outlineLevel="0" collapsed="false">
      <c r="A147" s="21" t="n">
        <v>142</v>
      </c>
      <c r="B147" s="21" t="s">
        <v>332</v>
      </c>
      <c r="C147" s="22" t="s">
        <v>333</v>
      </c>
      <c r="D147" s="21" t="s">
        <v>35</v>
      </c>
      <c r="E147" s="23" t="n">
        <v>180</v>
      </c>
      <c r="F147" s="23" t="n">
        <v>168</v>
      </c>
      <c r="G147" s="23" t="n">
        <v>348</v>
      </c>
      <c r="H147" s="24" t="n">
        <v>52</v>
      </c>
      <c r="I147" s="24" t="n">
        <f aca="false">IF(H147&gt;=75,20,ROUND(H147/75*10,1)*2)</f>
        <v>13.8</v>
      </c>
      <c r="J147" s="25" t="n">
        <f aca="false">(E147+Summary!$G$11)/(G147+Summary!$G$11)</f>
        <v>0.643312101910828</v>
      </c>
      <c r="K147" s="26" t="n">
        <f aca="false">J147*100-H147</f>
        <v>12.3312101910828</v>
      </c>
      <c r="L147" s="24" t="n">
        <f aca="false">IF(J147&gt;=0.75,20,ROUND(J147*100/75*10,1)*2)</f>
        <v>17.2</v>
      </c>
      <c r="M147" s="26" t="n">
        <f aca="false">L147-I147</f>
        <v>3.4</v>
      </c>
    </row>
    <row r="148" customFormat="false" ht="15" hidden="false" customHeight="false" outlineLevel="0" collapsed="false">
      <c r="A148" s="15" t="n">
        <v>143</v>
      </c>
      <c r="B148" s="15" t="s">
        <v>334</v>
      </c>
      <c r="C148" s="19" t="s">
        <v>335</v>
      </c>
      <c r="D148" s="15" t="s">
        <v>35</v>
      </c>
      <c r="E148" s="20" t="n">
        <v>188</v>
      </c>
      <c r="F148" s="20" t="n">
        <v>160</v>
      </c>
      <c r="G148" s="20" t="n">
        <v>348</v>
      </c>
      <c r="H148" s="16" t="n">
        <v>54</v>
      </c>
      <c r="I148" s="16" t="n">
        <f aca="false">IF(H148&gt;=75,20,ROUND(H148/75*10,1)*2)</f>
        <v>14.4</v>
      </c>
      <c r="J148" s="17" t="n">
        <f aca="false">(E148+Summary!$G$11)/(G148+Summary!$G$11)</f>
        <v>0.660297239915074</v>
      </c>
      <c r="K148" s="18" t="n">
        <f aca="false">J148*100-H148</f>
        <v>12.0297239915074</v>
      </c>
      <c r="L148" s="16" t="n">
        <f aca="false">IF(J148&gt;=0.75,20,ROUND(J148*100/75*10,1)*2)</f>
        <v>17.6</v>
      </c>
      <c r="M148" s="18" t="n">
        <f aca="false">L148-I148</f>
        <v>3.2</v>
      </c>
    </row>
    <row r="149" customFormat="false" ht="15" hidden="false" customHeight="false" outlineLevel="0" collapsed="false">
      <c r="A149" s="21" t="n">
        <v>144</v>
      </c>
      <c r="B149" s="21" t="s">
        <v>336</v>
      </c>
      <c r="C149" s="22" t="s">
        <v>337</v>
      </c>
      <c r="D149" s="21" t="s">
        <v>35</v>
      </c>
      <c r="E149" s="23" t="n">
        <v>202</v>
      </c>
      <c r="F149" s="23" t="n">
        <v>146</v>
      </c>
      <c r="G149" s="23" t="n">
        <v>348</v>
      </c>
      <c r="H149" s="24" t="n">
        <v>58</v>
      </c>
      <c r="I149" s="24" t="n">
        <f aca="false">IF(H149&gt;=75,20,ROUND(H149/75*10,1)*2)</f>
        <v>15.4</v>
      </c>
      <c r="J149" s="25" t="n">
        <f aca="false">(E149+Summary!$G$11)/(G149+Summary!$G$11)</f>
        <v>0.690021231422505</v>
      </c>
      <c r="K149" s="26" t="n">
        <f aca="false">J149*100-H149</f>
        <v>11.0021231422505</v>
      </c>
      <c r="L149" s="24" t="n">
        <f aca="false">IF(J149&gt;=0.75,20,ROUND(J149*100/75*10,1)*2)</f>
        <v>18.4</v>
      </c>
      <c r="M149" s="26" t="n">
        <f aca="false">L149-I149</f>
        <v>3</v>
      </c>
    </row>
    <row r="150" customFormat="false" ht="15" hidden="false" customHeight="false" outlineLevel="0" collapsed="false">
      <c r="A150" s="15" t="n">
        <v>145</v>
      </c>
      <c r="B150" s="15" t="s">
        <v>338</v>
      </c>
      <c r="C150" s="19" t="s">
        <v>339</v>
      </c>
      <c r="D150" s="15" t="s">
        <v>35</v>
      </c>
      <c r="E150" s="20" t="n">
        <v>206</v>
      </c>
      <c r="F150" s="20" t="n">
        <v>142</v>
      </c>
      <c r="G150" s="20" t="n">
        <v>348</v>
      </c>
      <c r="H150" s="16" t="n">
        <v>59</v>
      </c>
      <c r="I150" s="16" t="n">
        <f aca="false">IF(H150&gt;=75,20,ROUND(H150/75*10,1)*2)</f>
        <v>15.8</v>
      </c>
      <c r="J150" s="17" t="n">
        <f aca="false">(E150+Summary!$G$11)/(G150+Summary!$G$11)</f>
        <v>0.698513800424628</v>
      </c>
      <c r="K150" s="18" t="n">
        <f aca="false">J150*100-H150</f>
        <v>10.8513800424628</v>
      </c>
      <c r="L150" s="16" t="n">
        <f aca="false">IF(J150&gt;=0.75,20,ROUND(J150*100/75*10,1)*2)</f>
        <v>18.6</v>
      </c>
      <c r="M150" s="18" t="n">
        <f aca="false">L150-I150</f>
        <v>2.8</v>
      </c>
    </row>
    <row r="151" customFormat="false" ht="15" hidden="false" customHeight="false" outlineLevel="0" collapsed="false">
      <c r="A151" s="21" t="n">
        <v>146</v>
      </c>
      <c r="B151" s="21" t="s">
        <v>340</v>
      </c>
      <c r="C151" s="22" t="s">
        <v>341</v>
      </c>
      <c r="D151" s="21" t="s">
        <v>35</v>
      </c>
      <c r="E151" s="23" t="n">
        <v>211</v>
      </c>
      <c r="F151" s="23" t="n">
        <v>137</v>
      </c>
      <c r="G151" s="23" t="n">
        <v>348</v>
      </c>
      <c r="H151" s="24" t="n">
        <v>61</v>
      </c>
      <c r="I151" s="24" t="n">
        <f aca="false">IF(H151&gt;=75,20,ROUND(H151/75*10,1)*2)</f>
        <v>16.2</v>
      </c>
      <c r="J151" s="25" t="n">
        <f aca="false">(E151+Summary!$G$11)/(G151+Summary!$G$11)</f>
        <v>0.709129511677282</v>
      </c>
      <c r="K151" s="26" t="n">
        <f aca="false">J151*100-H151</f>
        <v>9.91295116772824</v>
      </c>
      <c r="L151" s="24" t="n">
        <f aca="false">IF(J151&gt;=0.75,20,ROUND(J151*100/75*10,1)*2)</f>
        <v>19</v>
      </c>
      <c r="M151" s="26" t="n">
        <f aca="false">L151-I151</f>
        <v>2.8</v>
      </c>
    </row>
    <row r="152" customFormat="false" ht="15" hidden="false" customHeight="false" outlineLevel="0" collapsed="false">
      <c r="A152" s="15" t="n">
        <v>147</v>
      </c>
      <c r="B152" s="15" t="s">
        <v>342</v>
      </c>
      <c r="C152" s="19" t="s">
        <v>343</v>
      </c>
      <c r="D152" s="15" t="s">
        <v>35</v>
      </c>
      <c r="E152" s="20" t="n">
        <v>217</v>
      </c>
      <c r="F152" s="20" t="n">
        <v>131</v>
      </c>
      <c r="G152" s="20" t="n">
        <v>348</v>
      </c>
      <c r="H152" s="16" t="n">
        <v>62</v>
      </c>
      <c r="I152" s="16" t="n">
        <f aca="false">IF(H152&gt;=75,20,ROUND(H152/75*10,1)*2)</f>
        <v>16.6</v>
      </c>
      <c r="J152" s="17" t="n">
        <f aca="false">(E152+Summary!$G$11)/(G152+Summary!$G$11)</f>
        <v>0.721868365180467</v>
      </c>
      <c r="K152" s="18" t="n">
        <f aca="false">J152*100-H152</f>
        <v>10.1868365180467</v>
      </c>
      <c r="L152" s="16" t="n">
        <f aca="false">IF(J152&gt;=0.75,20,ROUND(J152*100/75*10,1)*2)</f>
        <v>19.2</v>
      </c>
      <c r="M152" s="18" t="n">
        <f aca="false">L152-I152</f>
        <v>2.6</v>
      </c>
    </row>
    <row r="153" customFormat="false" ht="15" hidden="false" customHeight="false" outlineLevel="0" collapsed="false">
      <c r="A153" s="21" t="n">
        <v>148</v>
      </c>
      <c r="B153" s="21" t="s">
        <v>344</v>
      </c>
      <c r="C153" s="22" t="s">
        <v>345</v>
      </c>
      <c r="D153" s="21" t="s">
        <v>35</v>
      </c>
      <c r="E153" s="23" t="n">
        <v>223</v>
      </c>
      <c r="F153" s="23" t="n">
        <v>125</v>
      </c>
      <c r="G153" s="23" t="n">
        <v>348</v>
      </c>
      <c r="H153" s="24" t="n">
        <v>64</v>
      </c>
      <c r="I153" s="24" t="n">
        <f aca="false">IF(H153&gt;=75,20,ROUND(H153/75*10,1)*2)</f>
        <v>17</v>
      </c>
      <c r="J153" s="25" t="n">
        <f aca="false">(E153+Summary!$G$11)/(G153+Summary!$G$11)</f>
        <v>0.734607218683652</v>
      </c>
      <c r="K153" s="26" t="n">
        <f aca="false">J153*100-H153</f>
        <v>9.46072186836517</v>
      </c>
      <c r="L153" s="24" t="n">
        <f aca="false">IF(J153&gt;=0.75,20,ROUND(J153*100/75*10,1)*2)</f>
        <v>19.6</v>
      </c>
      <c r="M153" s="26" t="n">
        <f aca="false">L153-I153</f>
        <v>2.6</v>
      </c>
    </row>
    <row r="154" customFormat="false" ht="15" hidden="false" customHeight="false" outlineLevel="0" collapsed="false">
      <c r="A154" s="15" t="n">
        <v>149</v>
      </c>
      <c r="B154" s="15" t="s">
        <v>346</v>
      </c>
      <c r="C154" s="19" t="s">
        <v>347</v>
      </c>
      <c r="D154" s="15" t="s">
        <v>35</v>
      </c>
      <c r="E154" s="20" t="n">
        <v>226</v>
      </c>
      <c r="F154" s="20" t="n">
        <v>122</v>
      </c>
      <c r="G154" s="20" t="n">
        <v>348</v>
      </c>
      <c r="H154" s="16" t="n">
        <v>65</v>
      </c>
      <c r="I154" s="16" t="n">
        <f aca="false">IF(H154&gt;=75,20,ROUND(H154/75*10,1)*2)</f>
        <v>17.4</v>
      </c>
      <c r="J154" s="17" t="n">
        <f aca="false">(E154+Summary!$G$11)/(G154+Summary!$G$11)</f>
        <v>0.740976645435244</v>
      </c>
      <c r="K154" s="18" t="n">
        <f aca="false">J154*100-H154</f>
        <v>9.09766454352442</v>
      </c>
      <c r="L154" s="16" t="n">
        <f aca="false">IF(J154&gt;=0.75,20,ROUND(J154*100/75*10,1)*2)</f>
        <v>19.8</v>
      </c>
      <c r="M154" s="18" t="n">
        <f aca="false">L154-I154</f>
        <v>2.4</v>
      </c>
    </row>
    <row r="155" customFormat="false" ht="15" hidden="false" customHeight="false" outlineLevel="0" collapsed="false">
      <c r="A155" s="21" t="n">
        <v>150</v>
      </c>
      <c r="B155" s="21" t="s">
        <v>348</v>
      </c>
      <c r="C155" s="22" t="s">
        <v>349</v>
      </c>
      <c r="D155" s="21" t="s">
        <v>35</v>
      </c>
      <c r="E155" s="23" t="n">
        <v>227</v>
      </c>
      <c r="F155" s="23" t="n">
        <v>121</v>
      </c>
      <c r="G155" s="23" t="n">
        <v>348</v>
      </c>
      <c r="H155" s="24" t="n">
        <v>65</v>
      </c>
      <c r="I155" s="24" t="n">
        <f aca="false">IF(H155&gt;=75,20,ROUND(H155/75*10,1)*2)</f>
        <v>17.4</v>
      </c>
      <c r="J155" s="25" t="n">
        <f aca="false">(E155+Summary!$G$11)/(G155+Summary!$G$11)</f>
        <v>0.743099787685775</v>
      </c>
      <c r="K155" s="26" t="n">
        <f aca="false">J155*100-H155</f>
        <v>9.30997876857749</v>
      </c>
      <c r="L155" s="24" t="n">
        <f aca="false">IF(J155&gt;=0.75,20,ROUND(J155*100/75*10,1)*2)</f>
        <v>19.8</v>
      </c>
      <c r="M155" s="26" t="n">
        <f aca="false">L155-I155</f>
        <v>2.4</v>
      </c>
    </row>
    <row r="156" customFormat="false" ht="15" hidden="false" customHeight="false" outlineLevel="0" collapsed="false">
      <c r="A156" s="15" t="n">
        <v>151</v>
      </c>
      <c r="B156" s="15" t="s">
        <v>350</v>
      </c>
      <c r="C156" s="19" t="s">
        <v>351</v>
      </c>
      <c r="D156" s="15" t="s">
        <v>35</v>
      </c>
      <c r="E156" s="20" t="n">
        <v>229</v>
      </c>
      <c r="F156" s="20" t="n">
        <v>119</v>
      </c>
      <c r="G156" s="20" t="n">
        <v>348</v>
      </c>
      <c r="H156" s="16" t="n">
        <v>66</v>
      </c>
      <c r="I156" s="16" t="n">
        <f aca="false">IF(H156&gt;=75,20,ROUND(H156/75*10,1)*2)</f>
        <v>17.6</v>
      </c>
      <c r="J156" s="17" t="n">
        <f aca="false">(E156+Summary!$G$11)/(G156+Summary!$G$11)</f>
        <v>0.747346072186837</v>
      </c>
      <c r="K156" s="18" t="n">
        <f aca="false">J156*100-H156</f>
        <v>8.73460721868365</v>
      </c>
      <c r="L156" s="16" t="n">
        <f aca="false">IF(J156&gt;=0.75,20,ROUND(J156*100/75*10,1)*2)</f>
        <v>20</v>
      </c>
      <c r="M156" s="18" t="n">
        <f aca="false">L156-I156</f>
        <v>2.4</v>
      </c>
    </row>
    <row r="157" customFormat="false" ht="15" hidden="false" customHeight="false" outlineLevel="0" collapsed="false">
      <c r="A157" s="21" t="n">
        <v>152</v>
      </c>
      <c r="B157" s="21" t="s">
        <v>352</v>
      </c>
      <c r="C157" s="22" t="s">
        <v>353</v>
      </c>
      <c r="D157" s="21" t="s">
        <v>35</v>
      </c>
      <c r="E157" s="23" t="n">
        <v>232</v>
      </c>
      <c r="F157" s="23" t="n">
        <v>116</v>
      </c>
      <c r="G157" s="23" t="n">
        <v>348</v>
      </c>
      <c r="H157" s="24" t="n">
        <v>67</v>
      </c>
      <c r="I157" s="24" t="n">
        <f aca="false">IF(H157&gt;=75,20,ROUND(H157/75*10,1)*2)</f>
        <v>17.8</v>
      </c>
      <c r="J157" s="25" t="n">
        <f aca="false">(E157+Summary!$G$11)/(G157+Summary!$G$11)</f>
        <v>0.753715498938429</v>
      </c>
      <c r="K157" s="26" t="n">
        <f aca="false">J157*100-H157</f>
        <v>8.3715498938429</v>
      </c>
      <c r="L157" s="24" t="n">
        <f aca="false">IF(J157&gt;=0.75,20,ROUND(J157*100/75*10,1)*2)</f>
        <v>20</v>
      </c>
      <c r="M157" s="26" t="n">
        <f aca="false">L157-I157</f>
        <v>2.2</v>
      </c>
    </row>
    <row r="158" customFormat="false" ht="15" hidden="false" customHeight="false" outlineLevel="0" collapsed="false">
      <c r="A158" s="15" t="n">
        <v>153</v>
      </c>
      <c r="B158" s="15" t="s">
        <v>354</v>
      </c>
      <c r="C158" s="19" t="s">
        <v>355</v>
      </c>
      <c r="D158" s="15" t="s">
        <v>35</v>
      </c>
      <c r="E158" s="20" t="n">
        <v>234</v>
      </c>
      <c r="F158" s="20" t="n">
        <v>114</v>
      </c>
      <c r="G158" s="20" t="n">
        <v>348</v>
      </c>
      <c r="H158" s="16" t="n">
        <v>67</v>
      </c>
      <c r="I158" s="16" t="n">
        <f aca="false">IF(H158&gt;=75,20,ROUND(H158/75*10,1)*2)</f>
        <v>17.8</v>
      </c>
      <c r="J158" s="17" t="n">
        <f aca="false">(E158+Summary!$G$11)/(G158+Summary!$G$11)</f>
        <v>0.757961783439491</v>
      </c>
      <c r="K158" s="18" t="n">
        <f aca="false">J158*100-H158</f>
        <v>8.79617834394905</v>
      </c>
      <c r="L158" s="16" t="n">
        <f aca="false">IF(J158&gt;=0.75,20,ROUND(J158*100/75*10,1)*2)</f>
        <v>20</v>
      </c>
      <c r="M158" s="18" t="n">
        <f aca="false">L158-I158</f>
        <v>2.2</v>
      </c>
    </row>
    <row r="159" customFormat="false" ht="15" hidden="false" customHeight="false" outlineLevel="0" collapsed="false">
      <c r="A159" s="21" t="n">
        <v>154</v>
      </c>
      <c r="B159" s="21" t="s">
        <v>356</v>
      </c>
      <c r="C159" s="22" t="s">
        <v>357</v>
      </c>
      <c r="D159" s="21" t="s">
        <v>35</v>
      </c>
      <c r="E159" s="23" t="n">
        <v>240</v>
      </c>
      <c r="F159" s="23" t="n">
        <v>108</v>
      </c>
      <c r="G159" s="23" t="n">
        <v>348</v>
      </c>
      <c r="H159" s="24" t="n">
        <v>69</v>
      </c>
      <c r="I159" s="24" t="n">
        <f aca="false">IF(H159&gt;=75,20,ROUND(H159/75*10,1)*2)</f>
        <v>18.4</v>
      </c>
      <c r="J159" s="25" t="n">
        <f aca="false">(E159+Summary!$G$11)/(G159+Summary!$G$11)</f>
        <v>0.770700636942675</v>
      </c>
      <c r="K159" s="26" t="n">
        <f aca="false">J159*100-H159</f>
        <v>8.07006369426752</v>
      </c>
      <c r="L159" s="24" t="n">
        <f aca="false">IF(J159&gt;=0.75,20,ROUND(J159*100/75*10,1)*2)</f>
        <v>20</v>
      </c>
      <c r="M159" s="26" t="n">
        <f aca="false">L159-I159</f>
        <v>1.6</v>
      </c>
    </row>
    <row r="160" customFormat="false" ht="15" hidden="false" customHeight="false" outlineLevel="0" collapsed="false">
      <c r="A160" s="15" t="n">
        <v>155</v>
      </c>
      <c r="B160" s="15" t="s">
        <v>358</v>
      </c>
      <c r="C160" s="19" t="s">
        <v>359</v>
      </c>
      <c r="D160" s="15" t="s">
        <v>35</v>
      </c>
      <c r="E160" s="20" t="n">
        <v>245</v>
      </c>
      <c r="F160" s="20" t="n">
        <v>103</v>
      </c>
      <c r="G160" s="20" t="n">
        <v>348</v>
      </c>
      <c r="H160" s="16" t="n">
        <v>70</v>
      </c>
      <c r="I160" s="16" t="n">
        <f aca="false">IF(H160&gt;=75,20,ROUND(H160/75*10,1)*2)</f>
        <v>18.6</v>
      </c>
      <c r="J160" s="17" t="n">
        <f aca="false">(E160+Summary!$G$11)/(G160+Summary!$G$11)</f>
        <v>0.781316348195329</v>
      </c>
      <c r="K160" s="18" t="n">
        <f aca="false">J160*100-H160</f>
        <v>8.13163481953292</v>
      </c>
      <c r="L160" s="16" t="n">
        <f aca="false">IF(J160&gt;=0.75,20,ROUND(J160*100/75*10,1)*2)</f>
        <v>20</v>
      </c>
      <c r="M160" s="18" t="n">
        <f aca="false">L160-I160</f>
        <v>1.4</v>
      </c>
    </row>
    <row r="161" customFormat="false" ht="15" hidden="false" customHeight="false" outlineLevel="0" collapsed="false">
      <c r="A161" s="21" t="n">
        <v>156</v>
      </c>
      <c r="B161" s="21" t="s">
        <v>360</v>
      </c>
      <c r="C161" s="22" t="s">
        <v>361</v>
      </c>
      <c r="D161" s="21" t="s">
        <v>35</v>
      </c>
      <c r="E161" s="23" t="n">
        <v>248</v>
      </c>
      <c r="F161" s="23" t="n">
        <v>100</v>
      </c>
      <c r="G161" s="23" t="n">
        <v>348</v>
      </c>
      <c r="H161" s="24" t="n">
        <v>71</v>
      </c>
      <c r="I161" s="24" t="n">
        <f aca="false">IF(H161&gt;=75,20,ROUND(H161/75*10,1)*2)</f>
        <v>19</v>
      </c>
      <c r="J161" s="25" t="n">
        <f aca="false">(E161+Summary!$G$11)/(G161+Summary!$G$11)</f>
        <v>0.787685774946922</v>
      </c>
      <c r="K161" s="26" t="n">
        <f aca="false">J161*100-H161</f>
        <v>7.76857749469215</v>
      </c>
      <c r="L161" s="24" t="n">
        <f aca="false">IF(J161&gt;=0.75,20,ROUND(J161*100/75*10,1)*2)</f>
        <v>20</v>
      </c>
      <c r="M161" s="26" t="n">
        <f aca="false">L161-I161</f>
        <v>1</v>
      </c>
    </row>
    <row r="162" customFormat="false" ht="15" hidden="false" customHeight="false" outlineLevel="0" collapsed="false">
      <c r="A162" s="15" t="n">
        <v>157</v>
      </c>
      <c r="B162" s="15" t="s">
        <v>362</v>
      </c>
      <c r="C162" s="19" t="s">
        <v>363</v>
      </c>
      <c r="D162" s="15" t="s">
        <v>35</v>
      </c>
      <c r="E162" s="20" t="n">
        <v>247</v>
      </c>
      <c r="F162" s="20" t="n">
        <v>101</v>
      </c>
      <c r="G162" s="20" t="n">
        <v>348</v>
      </c>
      <c r="H162" s="16" t="n">
        <v>71</v>
      </c>
      <c r="I162" s="16" t="n">
        <f aca="false">IF(H162&gt;=75,20,ROUND(H162/75*10,1)*2)</f>
        <v>19</v>
      </c>
      <c r="J162" s="17" t="n">
        <f aca="false">(E162+Summary!$G$11)/(G162+Summary!$G$11)</f>
        <v>0.785562632696391</v>
      </c>
      <c r="K162" s="18" t="n">
        <f aca="false">J162*100-H162</f>
        <v>7.55626326963908</v>
      </c>
      <c r="L162" s="16" t="n">
        <f aca="false">IF(J162&gt;=0.75,20,ROUND(J162*100/75*10,1)*2)</f>
        <v>20</v>
      </c>
      <c r="M162" s="18" t="n">
        <f aca="false">L162-I162</f>
        <v>1</v>
      </c>
    </row>
    <row r="163" customFormat="false" ht="15" hidden="false" customHeight="false" outlineLevel="0" collapsed="false">
      <c r="A163" s="21" t="n">
        <v>158</v>
      </c>
      <c r="B163" s="21" t="s">
        <v>364</v>
      </c>
      <c r="C163" s="22" t="s">
        <v>365</v>
      </c>
      <c r="D163" s="21" t="s">
        <v>35</v>
      </c>
      <c r="E163" s="23" t="n">
        <v>249</v>
      </c>
      <c r="F163" s="23" t="n">
        <v>99</v>
      </c>
      <c r="G163" s="23" t="n">
        <v>348</v>
      </c>
      <c r="H163" s="24" t="n">
        <v>72</v>
      </c>
      <c r="I163" s="24" t="n">
        <f aca="false">IF(H163&gt;=75,20,ROUND(H163/75*10,1)*2)</f>
        <v>19.2</v>
      </c>
      <c r="J163" s="25" t="n">
        <f aca="false">(E163+Summary!$G$11)/(G163+Summary!$G$11)</f>
        <v>0.789808917197452</v>
      </c>
      <c r="K163" s="26" t="n">
        <f aca="false">J163*100-H163</f>
        <v>6.98089171974523</v>
      </c>
      <c r="L163" s="24" t="n">
        <f aca="false">IF(J163&gt;=0.75,20,ROUND(J163*100/75*10,1)*2)</f>
        <v>20</v>
      </c>
      <c r="M163" s="26" t="n">
        <f aca="false">L163-I163</f>
        <v>0.800000000000001</v>
      </c>
    </row>
    <row r="164" customFormat="false" ht="15" hidden="false" customHeight="false" outlineLevel="0" collapsed="false">
      <c r="A164" s="15" t="n">
        <v>159</v>
      </c>
      <c r="B164" s="15" t="s">
        <v>366</v>
      </c>
      <c r="C164" s="19" t="s">
        <v>367</v>
      </c>
      <c r="D164" s="15" t="s">
        <v>35</v>
      </c>
      <c r="E164" s="20" t="n">
        <v>252</v>
      </c>
      <c r="F164" s="20" t="n">
        <v>96</v>
      </c>
      <c r="G164" s="20" t="n">
        <v>348</v>
      </c>
      <c r="H164" s="16" t="n">
        <v>72</v>
      </c>
      <c r="I164" s="16" t="n">
        <f aca="false">IF(H164&gt;=75,20,ROUND(H164/75*10,1)*2)</f>
        <v>19.2</v>
      </c>
      <c r="J164" s="17" t="n">
        <f aca="false">(E164+Summary!$G$11)/(G164+Summary!$G$11)</f>
        <v>0.796178343949045</v>
      </c>
      <c r="K164" s="18" t="n">
        <f aca="false">J164*100-H164</f>
        <v>7.61783439490446</v>
      </c>
      <c r="L164" s="16" t="n">
        <f aca="false">IF(J164&gt;=0.75,20,ROUND(J164*100/75*10,1)*2)</f>
        <v>20</v>
      </c>
      <c r="M164" s="18" t="n">
        <f aca="false">L164-I164</f>
        <v>0.800000000000001</v>
      </c>
    </row>
    <row r="165" customFormat="false" ht="15" hidden="false" customHeight="false" outlineLevel="0" collapsed="false">
      <c r="A165" s="21" t="n">
        <v>160</v>
      </c>
      <c r="B165" s="21" t="s">
        <v>368</v>
      </c>
      <c r="C165" s="22" t="s">
        <v>369</v>
      </c>
      <c r="D165" s="21" t="s">
        <v>35</v>
      </c>
      <c r="E165" s="23" t="n">
        <v>257</v>
      </c>
      <c r="F165" s="23" t="n">
        <v>91</v>
      </c>
      <c r="G165" s="23" t="n">
        <v>348</v>
      </c>
      <c r="H165" s="24" t="n">
        <v>74</v>
      </c>
      <c r="I165" s="24" t="n">
        <f aca="false">IF(H165&gt;=75,20,ROUND(H165/75*10,1)*2)</f>
        <v>19.8</v>
      </c>
      <c r="J165" s="25" t="n">
        <f aca="false">(E165+Summary!$G$11)/(G165+Summary!$G$11)</f>
        <v>0.806794055201699</v>
      </c>
      <c r="K165" s="26" t="n">
        <f aca="false">J165*100-H165</f>
        <v>6.67940552016985</v>
      </c>
      <c r="L165" s="24" t="n">
        <f aca="false">IF(J165&gt;=0.75,20,ROUND(J165*100/75*10,1)*2)</f>
        <v>20</v>
      </c>
      <c r="M165" s="26" t="n">
        <f aca="false">L165-I165</f>
        <v>0.199999999999999</v>
      </c>
    </row>
    <row r="166" customFormat="false" ht="15" hidden="false" customHeight="false" outlineLevel="0" collapsed="false">
      <c r="A166" s="15" t="n">
        <v>161</v>
      </c>
      <c r="B166" s="15" t="s">
        <v>370</v>
      </c>
      <c r="C166" s="19" t="s">
        <v>371</v>
      </c>
      <c r="D166" s="15" t="s">
        <v>35</v>
      </c>
      <c r="E166" s="20" t="n">
        <v>261</v>
      </c>
      <c r="F166" s="20" t="n">
        <v>87</v>
      </c>
      <c r="G166" s="20" t="n">
        <v>348</v>
      </c>
      <c r="H166" s="16" t="n">
        <v>75</v>
      </c>
      <c r="I166" s="16" t="n">
        <f aca="false">IF(H166&gt;=75,20,ROUND(H166/75*10,1)*2)</f>
        <v>20</v>
      </c>
      <c r="J166" s="17" t="n">
        <f aca="false">(E166+Summary!$G$11)/(G166+Summary!$G$11)</f>
        <v>0.815286624203822</v>
      </c>
      <c r="K166" s="18" t="n">
        <f aca="false">J166*100-H166</f>
        <v>6.52866242038218</v>
      </c>
      <c r="L166" s="16" t="n">
        <f aca="false">IF(J166&gt;=0.75,20,ROUND(J166*100/75*10,1)*2)</f>
        <v>20</v>
      </c>
      <c r="M166" s="18" t="n">
        <f aca="false">L166-I166</f>
        <v>0</v>
      </c>
    </row>
    <row r="167" customFormat="false" ht="15" hidden="false" customHeight="false" outlineLevel="0" collapsed="false">
      <c r="A167" s="21" t="n">
        <v>162</v>
      </c>
      <c r="B167" s="21" t="s">
        <v>372</v>
      </c>
      <c r="C167" s="22" t="s">
        <v>373</v>
      </c>
      <c r="D167" s="21" t="s">
        <v>35</v>
      </c>
      <c r="E167" s="23" t="n">
        <v>260</v>
      </c>
      <c r="F167" s="23" t="n">
        <v>88</v>
      </c>
      <c r="G167" s="23" t="n">
        <v>348</v>
      </c>
      <c r="H167" s="24" t="n">
        <v>75</v>
      </c>
      <c r="I167" s="24" t="n">
        <f aca="false">IF(H167&gt;=75,20,ROUND(H167/75*10,1)*2)</f>
        <v>20</v>
      </c>
      <c r="J167" s="25" t="n">
        <f aca="false">(E167+Summary!$G$11)/(G167+Summary!$G$11)</f>
        <v>0.813163481953291</v>
      </c>
      <c r="K167" s="26" t="n">
        <f aca="false">J167*100-H167</f>
        <v>6.31634819532908</v>
      </c>
      <c r="L167" s="24" t="n">
        <f aca="false">IF(J167&gt;=0.75,20,ROUND(J167*100/75*10,1)*2)</f>
        <v>20</v>
      </c>
      <c r="M167" s="26" t="n">
        <f aca="false">L167-I167</f>
        <v>0</v>
      </c>
    </row>
    <row r="168" customFormat="false" ht="15" hidden="false" customHeight="false" outlineLevel="0" collapsed="false">
      <c r="A168" s="15" t="n">
        <v>163</v>
      </c>
      <c r="B168" s="15" t="s">
        <v>374</v>
      </c>
      <c r="C168" s="19" t="s">
        <v>375</v>
      </c>
      <c r="D168" s="15" t="s">
        <v>35</v>
      </c>
      <c r="E168" s="20" t="n">
        <v>261</v>
      </c>
      <c r="F168" s="20" t="n">
        <v>87</v>
      </c>
      <c r="G168" s="20" t="n">
        <v>348</v>
      </c>
      <c r="H168" s="16" t="n">
        <v>75</v>
      </c>
      <c r="I168" s="16" t="n">
        <f aca="false">IF(H168&gt;=75,20,ROUND(H168/75*10,1)*2)</f>
        <v>20</v>
      </c>
      <c r="J168" s="17" t="n">
        <f aca="false">(E168+Summary!$G$11)/(G168+Summary!$G$11)</f>
        <v>0.815286624203822</v>
      </c>
      <c r="K168" s="18" t="n">
        <f aca="false">J168*100-H168</f>
        <v>6.52866242038218</v>
      </c>
      <c r="L168" s="16" t="n">
        <f aca="false">IF(J168&gt;=0.75,20,ROUND(J168*100/75*10,1)*2)</f>
        <v>20</v>
      </c>
      <c r="M168" s="18" t="n">
        <f aca="false">L168-I168</f>
        <v>0</v>
      </c>
    </row>
    <row r="169" customFormat="false" ht="15" hidden="false" customHeight="false" outlineLevel="0" collapsed="false">
      <c r="A169" s="21" t="n">
        <v>164</v>
      </c>
      <c r="B169" s="21" t="s">
        <v>376</v>
      </c>
      <c r="C169" s="22" t="s">
        <v>377</v>
      </c>
      <c r="D169" s="21" t="s">
        <v>35</v>
      </c>
      <c r="E169" s="23" t="n">
        <v>260</v>
      </c>
      <c r="F169" s="23" t="n">
        <v>88</v>
      </c>
      <c r="G169" s="23" t="n">
        <v>348</v>
      </c>
      <c r="H169" s="24" t="n">
        <v>75</v>
      </c>
      <c r="I169" s="24" t="n">
        <f aca="false">IF(H169&gt;=75,20,ROUND(H169/75*10,1)*2)</f>
        <v>20</v>
      </c>
      <c r="J169" s="25" t="n">
        <f aca="false">(E169+Summary!$G$11)/(G169+Summary!$G$11)</f>
        <v>0.813163481953291</v>
      </c>
      <c r="K169" s="26" t="n">
        <f aca="false">J169*100-H169</f>
        <v>6.31634819532908</v>
      </c>
      <c r="L169" s="24" t="n">
        <f aca="false">IF(J169&gt;=0.75,20,ROUND(J169*100/75*10,1)*2)</f>
        <v>20</v>
      </c>
      <c r="M169" s="26" t="n">
        <f aca="false">L169-I169</f>
        <v>0</v>
      </c>
    </row>
    <row r="170" customFormat="false" ht="15" hidden="false" customHeight="false" outlineLevel="0" collapsed="false">
      <c r="A170" s="15" t="n">
        <v>165</v>
      </c>
      <c r="B170" s="15" t="s">
        <v>378</v>
      </c>
      <c r="C170" s="19" t="s">
        <v>379</v>
      </c>
      <c r="D170" s="15" t="s">
        <v>35</v>
      </c>
      <c r="E170" s="20" t="n">
        <v>266</v>
      </c>
      <c r="F170" s="20" t="n">
        <v>82</v>
      </c>
      <c r="G170" s="20" t="n">
        <v>348</v>
      </c>
      <c r="H170" s="16" t="n">
        <v>76</v>
      </c>
      <c r="I170" s="16" t="n">
        <f aca="false">IF(H170&gt;=75,20,ROUND(H170/75*10,1)*2)</f>
        <v>20</v>
      </c>
      <c r="J170" s="17" t="n">
        <f aca="false">(E170+Summary!$G$11)/(G170+Summary!$G$11)</f>
        <v>0.825902335456476</v>
      </c>
      <c r="K170" s="18" t="n">
        <f aca="false">J170*100-H170</f>
        <v>6.59023354564756</v>
      </c>
      <c r="L170" s="16" t="n">
        <f aca="false">IF(J170&gt;=0.75,20,ROUND(J170*100/75*10,1)*2)</f>
        <v>20</v>
      </c>
      <c r="M170" s="18" t="n">
        <f aca="false">L170-I170</f>
        <v>0</v>
      </c>
    </row>
    <row r="171" customFormat="false" ht="15" hidden="false" customHeight="false" outlineLevel="0" collapsed="false">
      <c r="A171" s="21" t="n">
        <v>166</v>
      </c>
      <c r="B171" s="21" t="s">
        <v>380</v>
      </c>
      <c r="C171" s="22" t="s">
        <v>381</v>
      </c>
      <c r="D171" s="21" t="s">
        <v>35</v>
      </c>
      <c r="E171" s="23" t="n">
        <v>265</v>
      </c>
      <c r="F171" s="23" t="n">
        <v>83</v>
      </c>
      <c r="G171" s="23" t="n">
        <v>348</v>
      </c>
      <c r="H171" s="24" t="n">
        <v>76</v>
      </c>
      <c r="I171" s="24" t="n">
        <f aca="false">IF(H171&gt;=75,20,ROUND(H171/75*10,1)*2)</f>
        <v>20</v>
      </c>
      <c r="J171" s="25" t="n">
        <f aca="false">(E171+Summary!$G$11)/(G171+Summary!$G$11)</f>
        <v>0.823779193205945</v>
      </c>
      <c r="K171" s="26" t="n">
        <f aca="false">J171*100-H171</f>
        <v>6.37791932059449</v>
      </c>
      <c r="L171" s="24" t="n">
        <f aca="false">IF(J171&gt;=0.75,20,ROUND(J171*100/75*10,1)*2)</f>
        <v>20</v>
      </c>
      <c r="M171" s="26" t="n">
        <f aca="false">L171-I171</f>
        <v>0</v>
      </c>
    </row>
    <row r="172" customFormat="false" ht="15" hidden="false" customHeight="false" outlineLevel="0" collapsed="false">
      <c r="A172" s="15" t="n">
        <v>167</v>
      </c>
      <c r="B172" s="15" t="s">
        <v>382</v>
      </c>
      <c r="C172" s="19" t="s">
        <v>383</v>
      </c>
      <c r="D172" s="15" t="s">
        <v>35</v>
      </c>
      <c r="E172" s="20" t="n">
        <v>265</v>
      </c>
      <c r="F172" s="20" t="n">
        <v>83</v>
      </c>
      <c r="G172" s="20" t="n">
        <v>348</v>
      </c>
      <c r="H172" s="16" t="n">
        <v>76</v>
      </c>
      <c r="I172" s="16" t="n">
        <f aca="false">IF(H172&gt;=75,20,ROUND(H172/75*10,1)*2)</f>
        <v>20</v>
      </c>
      <c r="J172" s="17" t="n">
        <f aca="false">(E172+Summary!$G$11)/(G172+Summary!$G$11)</f>
        <v>0.823779193205945</v>
      </c>
      <c r="K172" s="18" t="n">
        <f aca="false">J172*100-H172</f>
        <v>6.37791932059449</v>
      </c>
      <c r="L172" s="16" t="n">
        <f aca="false">IF(J172&gt;=0.75,20,ROUND(J172*100/75*10,1)*2)</f>
        <v>20</v>
      </c>
      <c r="M172" s="18" t="n">
        <f aca="false">L172-I172</f>
        <v>0</v>
      </c>
    </row>
    <row r="173" customFormat="false" ht="15" hidden="false" customHeight="false" outlineLevel="0" collapsed="false">
      <c r="A173" s="21" t="n">
        <v>168</v>
      </c>
      <c r="B173" s="21" t="s">
        <v>384</v>
      </c>
      <c r="C173" s="22" t="s">
        <v>385</v>
      </c>
      <c r="D173" s="21" t="s">
        <v>35</v>
      </c>
      <c r="E173" s="23" t="n">
        <v>264</v>
      </c>
      <c r="F173" s="23" t="n">
        <v>84</v>
      </c>
      <c r="G173" s="23" t="n">
        <v>348</v>
      </c>
      <c r="H173" s="24" t="n">
        <v>76</v>
      </c>
      <c r="I173" s="24" t="n">
        <f aca="false">IF(H173&gt;=75,20,ROUND(H173/75*10,1)*2)</f>
        <v>20</v>
      </c>
      <c r="J173" s="25" t="n">
        <f aca="false">(E173+Summary!$G$11)/(G173+Summary!$G$11)</f>
        <v>0.821656050955414</v>
      </c>
      <c r="K173" s="26" t="n">
        <f aca="false">J173*100-H173</f>
        <v>6.16560509554141</v>
      </c>
      <c r="L173" s="24" t="n">
        <f aca="false">IF(J173&gt;=0.75,20,ROUND(J173*100/75*10,1)*2)</f>
        <v>20</v>
      </c>
      <c r="M173" s="26" t="n">
        <f aca="false">L173-I173</f>
        <v>0</v>
      </c>
    </row>
    <row r="174" customFormat="false" ht="15" hidden="false" customHeight="false" outlineLevel="0" collapsed="false">
      <c r="A174" s="15" t="n">
        <v>169</v>
      </c>
      <c r="B174" s="15" t="s">
        <v>386</v>
      </c>
      <c r="C174" s="19" t="s">
        <v>387</v>
      </c>
      <c r="D174" s="15" t="s">
        <v>35</v>
      </c>
      <c r="E174" s="20" t="n">
        <v>265</v>
      </c>
      <c r="F174" s="20" t="n">
        <v>83</v>
      </c>
      <c r="G174" s="20" t="n">
        <v>348</v>
      </c>
      <c r="H174" s="16" t="n">
        <v>76</v>
      </c>
      <c r="I174" s="16" t="n">
        <f aca="false">IF(H174&gt;=75,20,ROUND(H174/75*10,1)*2)</f>
        <v>20</v>
      </c>
      <c r="J174" s="17" t="n">
        <f aca="false">(E174+Summary!$G$11)/(G174+Summary!$G$11)</f>
        <v>0.823779193205945</v>
      </c>
      <c r="K174" s="18" t="n">
        <f aca="false">J174*100-H174</f>
        <v>6.37791932059449</v>
      </c>
      <c r="L174" s="16" t="n">
        <f aca="false">IF(J174&gt;=0.75,20,ROUND(J174*100/75*10,1)*2)</f>
        <v>20</v>
      </c>
      <c r="M174" s="18" t="n">
        <f aca="false">L174-I174</f>
        <v>0</v>
      </c>
    </row>
    <row r="175" customFormat="false" ht="15" hidden="false" customHeight="false" outlineLevel="0" collapsed="false">
      <c r="A175" s="21" t="n">
        <v>170</v>
      </c>
      <c r="B175" s="21" t="s">
        <v>388</v>
      </c>
      <c r="C175" s="22" t="s">
        <v>389</v>
      </c>
      <c r="D175" s="21" t="s">
        <v>35</v>
      </c>
      <c r="E175" s="23" t="n">
        <v>268</v>
      </c>
      <c r="F175" s="23" t="n">
        <v>80</v>
      </c>
      <c r="G175" s="23" t="n">
        <v>348</v>
      </c>
      <c r="H175" s="24" t="n">
        <v>77</v>
      </c>
      <c r="I175" s="24" t="n">
        <f aca="false">IF(H175&gt;=75,20,ROUND(H175/75*10,1)*2)</f>
        <v>20</v>
      </c>
      <c r="J175" s="25" t="n">
        <f aca="false">(E175+Summary!$G$11)/(G175+Summary!$G$11)</f>
        <v>0.830148619957537</v>
      </c>
      <c r="K175" s="26" t="n">
        <f aca="false">J175*100-H175</f>
        <v>6.01486199575372</v>
      </c>
      <c r="L175" s="24" t="n">
        <f aca="false">IF(J175&gt;=0.75,20,ROUND(J175*100/75*10,1)*2)</f>
        <v>20</v>
      </c>
      <c r="M175" s="26" t="n">
        <f aca="false">L175-I175</f>
        <v>0</v>
      </c>
    </row>
    <row r="176" customFormat="false" ht="15" hidden="false" customHeight="false" outlineLevel="0" collapsed="false">
      <c r="A176" s="15" t="n">
        <v>171</v>
      </c>
      <c r="B176" s="15" t="s">
        <v>390</v>
      </c>
      <c r="C176" s="19" t="s">
        <v>391</v>
      </c>
      <c r="D176" s="15" t="s">
        <v>35</v>
      </c>
      <c r="E176" s="20" t="n">
        <v>267</v>
      </c>
      <c r="F176" s="20" t="n">
        <v>81</v>
      </c>
      <c r="G176" s="20" t="n">
        <v>348</v>
      </c>
      <c r="H176" s="16" t="n">
        <v>77</v>
      </c>
      <c r="I176" s="16" t="n">
        <f aca="false">IF(H176&gt;=75,20,ROUND(H176/75*10,1)*2)</f>
        <v>20</v>
      </c>
      <c r="J176" s="17" t="n">
        <f aca="false">(E176+Summary!$G$11)/(G176+Summary!$G$11)</f>
        <v>0.828025477707006</v>
      </c>
      <c r="K176" s="18" t="n">
        <f aca="false">J176*100-H176</f>
        <v>5.80254777070064</v>
      </c>
      <c r="L176" s="16" t="n">
        <f aca="false">IF(J176&gt;=0.75,20,ROUND(J176*100/75*10,1)*2)</f>
        <v>20</v>
      </c>
      <c r="M176" s="18" t="n">
        <f aca="false">L176-I176</f>
        <v>0</v>
      </c>
    </row>
    <row r="177" customFormat="false" ht="15" hidden="false" customHeight="false" outlineLevel="0" collapsed="false">
      <c r="A177" s="21" t="n">
        <v>172</v>
      </c>
      <c r="B177" s="21" t="s">
        <v>392</v>
      </c>
      <c r="C177" s="22" t="s">
        <v>393</v>
      </c>
      <c r="D177" s="21" t="s">
        <v>35</v>
      </c>
      <c r="E177" s="23" t="n">
        <v>273</v>
      </c>
      <c r="F177" s="23" t="n">
        <v>75</v>
      </c>
      <c r="G177" s="23" t="n">
        <v>348</v>
      </c>
      <c r="H177" s="24" t="n">
        <v>78</v>
      </c>
      <c r="I177" s="24" t="n">
        <f aca="false">IF(H177&gt;=75,20,ROUND(H177/75*10,1)*2)</f>
        <v>20</v>
      </c>
      <c r="J177" s="25" t="n">
        <f aca="false">(E177+Summary!$G$11)/(G177+Summary!$G$11)</f>
        <v>0.840764331210191</v>
      </c>
      <c r="K177" s="26" t="n">
        <f aca="false">J177*100-H177</f>
        <v>6.07643312101911</v>
      </c>
      <c r="L177" s="24" t="n">
        <f aca="false">IF(J177&gt;=0.75,20,ROUND(J177*100/75*10,1)*2)</f>
        <v>20</v>
      </c>
      <c r="M177" s="26" t="n">
        <f aca="false">L177-I177</f>
        <v>0</v>
      </c>
    </row>
    <row r="178" customFormat="false" ht="15" hidden="false" customHeight="false" outlineLevel="0" collapsed="false">
      <c r="A178" s="15" t="n">
        <v>173</v>
      </c>
      <c r="B178" s="15" t="s">
        <v>394</v>
      </c>
      <c r="C178" s="19" t="s">
        <v>395</v>
      </c>
      <c r="D178" s="15" t="s">
        <v>35</v>
      </c>
      <c r="E178" s="20" t="n">
        <v>273</v>
      </c>
      <c r="F178" s="20" t="n">
        <v>75</v>
      </c>
      <c r="G178" s="20" t="n">
        <v>348</v>
      </c>
      <c r="H178" s="16" t="n">
        <v>78</v>
      </c>
      <c r="I178" s="16" t="n">
        <f aca="false">IF(H178&gt;=75,20,ROUND(H178/75*10,1)*2)</f>
        <v>20</v>
      </c>
      <c r="J178" s="17" t="n">
        <f aca="false">(E178+Summary!$G$11)/(G178+Summary!$G$11)</f>
        <v>0.840764331210191</v>
      </c>
      <c r="K178" s="18" t="n">
        <f aca="false">J178*100-H178</f>
        <v>6.07643312101911</v>
      </c>
      <c r="L178" s="16" t="n">
        <f aca="false">IF(J178&gt;=0.75,20,ROUND(J178*100/75*10,1)*2)</f>
        <v>20</v>
      </c>
      <c r="M178" s="18" t="n">
        <f aca="false">L178-I178</f>
        <v>0</v>
      </c>
    </row>
    <row r="179" customFormat="false" ht="15" hidden="false" customHeight="false" outlineLevel="0" collapsed="false">
      <c r="A179" s="21" t="n">
        <v>174</v>
      </c>
      <c r="B179" s="21" t="s">
        <v>396</v>
      </c>
      <c r="C179" s="22" t="s">
        <v>397</v>
      </c>
      <c r="D179" s="21" t="s">
        <v>35</v>
      </c>
      <c r="E179" s="23" t="n">
        <v>270</v>
      </c>
      <c r="F179" s="23" t="n">
        <v>78</v>
      </c>
      <c r="G179" s="23" t="n">
        <v>348</v>
      </c>
      <c r="H179" s="24" t="n">
        <v>78</v>
      </c>
      <c r="I179" s="24" t="n">
        <f aca="false">IF(H179&gt;=75,20,ROUND(H179/75*10,1)*2)</f>
        <v>20</v>
      </c>
      <c r="J179" s="25" t="n">
        <f aca="false">(E179+Summary!$G$11)/(G179+Summary!$G$11)</f>
        <v>0.834394904458599</v>
      </c>
      <c r="K179" s="26" t="n">
        <f aca="false">J179*100-H179</f>
        <v>5.43949044585987</v>
      </c>
      <c r="L179" s="24" t="n">
        <f aca="false">IF(J179&gt;=0.75,20,ROUND(J179*100/75*10,1)*2)</f>
        <v>20</v>
      </c>
      <c r="M179" s="26" t="n">
        <f aca="false">L179-I179</f>
        <v>0</v>
      </c>
    </row>
    <row r="180" customFormat="false" ht="15" hidden="false" customHeight="false" outlineLevel="0" collapsed="false">
      <c r="A180" s="15" t="n">
        <v>175</v>
      </c>
      <c r="B180" s="15" t="s">
        <v>398</v>
      </c>
      <c r="C180" s="19" t="s">
        <v>399</v>
      </c>
      <c r="D180" s="15" t="s">
        <v>35</v>
      </c>
      <c r="E180" s="20" t="n">
        <v>271</v>
      </c>
      <c r="F180" s="20" t="n">
        <v>77</v>
      </c>
      <c r="G180" s="20" t="n">
        <v>348</v>
      </c>
      <c r="H180" s="16" t="n">
        <v>78</v>
      </c>
      <c r="I180" s="16" t="n">
        <f aca="false">IF(H180&gt;=75,20,ROUND(H180/75*10,1)*2)</f>
        <v>20</v>
      </c>
      <c r="J180" s="17" t="n">
        <f aca="false">(E180+Summary!$G$11)/(G180+Summary!$G$11)</f>
        <v>0.83651804670913</v>
      </c>
      <c r="K180" s="18" t="n">
        <f aca="false">J180*100-H180</f>
        <v>5.65180467091295</v>
      </c>
      <c r="L180" s="16" t="n">
        <f aca="false">IF(J180&gt;=0.75,20,ROUND(J180*100/75*10,1)*2)</f>
        <v>20</v>
      </c>
      <c r="M180" s="18" t="n">
        <f aca="false">L180-I180</f>
        <v>0</v>
      </c>
    </row>
    <row r="181" customFormat="false" ht="15" hidden="false" customHeight="false" outlineLevel="0" collapsed="false">
      <c r="A181" s="21" t="n">
        <v>176</v>
      </c>
      <c r="B181" s="21" t="s">
        <v>400</v>
      </c>
      <c r="C181" s="22" t="s">
        <v>401</v>
      </c>
      <c r="D181" s="21" t="s">
        <v>35</v>
      </c>
      <c r="E181" s="23" t="n">
        <v>277</v>
      </c>
      <c r="F181" s="23" t="n">
        <v>71</v>
      </c>
      <c r="G181" s="23" t="n">
        <v>348</v>
      </c>
      <c r="H181" s="24" t="n">
        <v>80</v>
      </c>
      <c r="I181" s="24" t="n">
        <f aca="false">IF(H181&gt;=75,20,ROUND(H181/75*10,1)*2)</f>
        <v>20</v>
      </c>
      <c r="J181" s="25" t="n">
        <f aca="false">(E181+Summary!$G$11)/(G181+Summary!$G$11)</f>
        <v>0.849256900212314</v>
      </c>
      <c r="K181" s="26" t="n">
        <f aca="false">J181*100-H181</f>
        <v>4.92569002123143</v>
      </c>
      <c r="L181" s="24" t="n">
        <f aca="false">IF(J181&gt;=0.75,20,ROUND(J181*100/75*10,1)*2)</f>
        <v>20</v>
      </c>
      <c r="M181" s="26" t="n">
        <f aca="false">L181-I181</f>
        <v>0</v>
      </c>
    </row>
    <row r="182" customFormat="false" ht="15" hidden="false" customHeight="false" outlineLevel="0" collapsed="false">
      <c r="A182" s="15" t="n">
        <v>177</v>
      </c>
      <c r="B182" s="15" t="s">
        <v>402</v>
      </c>
      <c r="C182" s="19" t="s">
        <v>403</v>
      </c>
      <c r="D182" s="15" t="s">
        <v>35</v>
      </c>
      <c r="E182" s="20" t="n">
        <v>280</v>
      </c>
      <c r="F182" s="20" t="n">
        <v>68</v>
      </c>
      <c r="G182" s="20" t="n">
        <v>348</v>
      </c>
      <c r="H182" s="16" t="n">
        <v>80</v>
      </c>
      <c r="I182" s="16" t="n">
        <f aca="false">IF(H182&gt;=75,20,ROUND(H182/75*10,1)*2)</f>
        <v>20</v>
      </c>
      <c r="J182" s="17" t="n">
        <f aca="false">(E182+Summary!$G$11)/(G182+Summary!$G$11)</f>
        <v>0.855626326963907</v>
      </c>
      <c r="K182" s="18" t="n">
        <f aca="false">J182*100-H182</f>
        <v>5.56263269639067</v>
      </c>
      <c r="L182" s="16" t="n">
        <f aca="false">IF(J182&gt;=0.75,20,ROUND(J182*100/75*10,1)*2)</f>
        <v>20</v>
      </c>
      <c r="M182" s="18" t="n">
        <f aca="false">L182-I182</f>
        <v>0</v>
      </c>
    </row>
    <row r="183" customFormat="false" ht="15" hidden="false" customHeight="false" outlineLevel="0" collapsed="false">
      <c r="A183" s="21" t="n">
        <v>178</v>
      </c>
      <c r="B183" s="21" t="s">
        <v>404</v>
      </c>
      <c r="C183" s="22" t="s">
        <v>405</v>
      </c>
      <c r="D183" s="21" t="s">
        <v>35</v>
      </c>
      <c r="E183" s="23" t="n">
        <v>278</v>
      </c>
      <c r="F183" s="23" t="n">
        <v>70</v>
      </c>
      <c r="G183" s="23" t="n">
        <v>348</v>
      </c>
      <c r="H183" s="24" t="n">
        <v>80</v>
      </c>
      <c r="I183" s="24" t="n">
        <f aca="false">IF(H183&gt;=75,20,ROUND(H183/75*10,1)*2)</f>
        <v>20</v>
      </c>
      <c r="J183" s="25" t="n">
        <f aca="false">(E183+Summary!$G$11)/(G183+Summary!$G$11)</f>
        <v>0.851380042462845</v>
      </c>
      <c r="K183" s="26" t="n">
        <f aca="false">J183*100-H183</f>
        <v>5.13800424628451</v>
      </c>
      <c r="L183" s="24" t="n">
        <f aca="false">IF(J183&gt;=0.75,20,ROUND(J183*100/75*10,1)*2)</f>
        <v>20</v>
      </c>
      <c r="M183" s="26" t="n">
        <f aca="false">L183-I183</f>
        <v>0</v>
      </c>
    </row>
    <row r="184" customFormat="false" ht="15" hidden="false" customHeight="false" outlineLevel="0" collapsed="false">
      <c r="A184" s="15" t="n">
        <v>179</v>
      </c>
      <c r="B184" s="15" t="s">
        <v>406</v>
      </c>
      <c r="C184" s="19" t="s">
        <v>407</v>
      </c>
      <c r="D184" s="15" t="s">
        <v>35</v>
      </c>
      <c r="E184" s="20" t="n">
        <v>283</v>
      </c>
      <c r="F184" s="20" t="n">
        <v>65</v>
      </c>
      <c r="G184" s="20" t="n">
        <v>348</v>
      </c>
      <c r="H184" s="16" t="n">
        <v>81</v>
      </c>
      <c r="I184" s="16" t="n">
        <f aca="false">IF(H184&gt;=75,20,ROUND(H184/75*10,1)*2)</f>
        <v>20</v>
      </c>
      <c r="J184" s="17" t="n">
        <f aca="false">(E184+Summary!$G$11)/(G184+Summary!$G$11)</f>
        <v>0.861995753715499</v>
      </c>
      <c r="K184" s="18" t="n">
        <f aca="false">J184*100-H184</f>
        <v>5.1995753715499</v>
      </c>
      <c r="L184" s="16" t="n">
        <f aca="false">IF(J184&gt;=0.75,20,ROUND(J184*100/75*10,1)*2)</f>
        <v>20</v>
      </c>
      <c r="M184" s="18" t="n">
        <f aca="false">L184-I184</f>
        <v>0</v>
      </c>
    </row>
    <row r="185" customFormat="false" ht="15" hidden="false" customHeight="false" outlineLevel="0" collapsed="false">
      <c r="A185" s="21" t="n">
        <v>180</v>
      </c>
      <c r="B185" s="21" t="s">
        <v>408</v>
      </c>
      <c r="C185" s="22" t="s">
        <v>409</v>
      </c>
      <c r="D185" s="21" t="s">
        <v>35</v>
      </c>
      <c r="E185" s="23" t="n">
        <v>284</v>
      </c>
      <c r="F185" s="23" t="n">
        <v>64</v>
      </c>
      <c r="G185" s="23" t="n">
        <v>348</v>
      </c>
      <c r="H185" s="24" t="n">
        <v>82</v>
      </c>
      <c r="I185" s="24" t="n">
        <f aca="false">IF(H185&gt;=75,20,ROUND(H185/75*10,1)*2)</f>
        <v>20</v>
      </c>
      <c r="J185" s="25" t="n">
        <f aca="false">(E185+Summary!$G$11)/(G185+Summary!$G$11)</f>
        <v>0.86411889596603</v>
      </c>
      <c r="K185" s="26" t="n">
        <f aca="false">J185*100-H185</f>
        <v>4.41188959660298</v>
      </c>
      <c r="L185" s="24" t="n">
        <f aca="false">IF(J185&gt;=0.75,20,ROUND(J185*100/75*10,1)*2)</f>
        <v>20</v>
      </c>
      <c r="M185" s="26" t="n">
        <f aca="false">L185-I185</f>
        <v>0</v>
      </c>
    </row>
    <row r="186" customFormat="false" ht="15" hidden="false" customHeight="false" outlineLevel="0" collapsed="false">
      <c r="A186" s="15" t="n">
        <v>181</v>
      </c>
      <c r="B186" s="15" t="s">
        <v>410</v>
      </c>
      <c r="C186" s="19" t="s">
        <v>411</v>
      </c>
      <c r="D186" s="15" t="s">
        <v>35</v>
      </c>
      <c r="E186" s="20" t="n">
        <v>288</v>
      </c>
      <c r="F186" s="20" t="n">
        <v>60</v>
      </c>
      <c r="G186" s="20" t="n">
        <v>348</v>
      </c>
      <c r="H186" s="16" t="n">
        <v>83</v>
      </c>
      <c r="I186" s="16" t="n">
        <f aca="false">IF(H186&gt;=75,20,ROUND(H186/75*10,1)*2)</f>
        <v>20</v>
      </c>
      <c r="J186" s="17" t="n">
        <f aca="false">(E186+Summary!$G$11)/(G186+Summary!$G$11)</f>
        <v>0.872611464968153</v>
      </c>
      <c r="K186" s="18" t="n">
        <f aca="false">J186*100-H186</f>
        <v>4.26114649681529</v>
      </c>
      <c r="L186" s="16" t="n">
        <f aca="false">IF(J186&gt;=0.75,20,ROUND(J186*100/75*10,1)*2)</f>
        <v>20</v>
      </c>
      <c r="M186" s="18" t="n">
        <f aca="false">L186-I186</f>
        <v>0</v>
      </c>
    </row>
    <row r="187" customFormat="false" ht="15" hidden="false" customHeight="false" outlineLevel="0" collapsed="false">
      <c r="A187" s="21" t="n">
        <v>182</v>
      </c>
      <c r="B187" s="21" t="s">
        <v>412</v>
      </c>
      <c r="C187" s="22" t="s">
        <v>413</v>
      </c>
      <c r="D187" s="21" t="s">
        <v>35</v>
      </c>
      <c r="E187" s="23" t="n">
        <v>294</v>
      </c>
      <c r="F187" s="23" t="n">
        <v>54</v>
      </c>
      <c r="G187" s="23" t="n">
        <v>348</v>
      </c>
      <c r="H187" s="24" t="n">
        <v>84</v>
      </c>
      <c r="I187" s="24" t="n">
        <f aca="false">IF(H187&gt;=75,20,ROUND(H187/75*10,1)*2)</f>
        <v>20</v>
      </c>
      <c r="J187" s="25" t="n">
        <f aca="false">(E187+Summary!$G$11)/(G187+Summary!$G$11)</f>
        <v>0.885350318471338</v>
      </c>
      <c r="K187" s="26" t="n">
        <f aca="false">J187*100-H187</f>
        <v>4.53503184713377</v>
      </c>
      <c r="L187" s="24" t="n">
        <f aca="false">IF(J187&gt;=0.75,20,ROUND(J187*100/75*10,1)*2)</f>
        <v>20</v>
      </c>
      <c r="M187" s="26" t="n">
        <f aca="false">L187-I187</f>
        <v>0</v>
      </c>
    </row>
    <row r="188" customFormat="false" ht="15" hidden="false" customHeight="false" outlineLevel="0" collapsed="false">
      <c r="A188" s="15" t="n">
        <v>183</v>
      </c>
      <c r="B188" s="15" t="s">
        <v>414</v>
      </c>
      <c r="C188" s="19" t="s">
        <v>415</v>
      </c>
      <c r="D188" s="15" t="s">
        <v>35</v>
      </c>
      <c r="E188" s="20" t="n">
        <v>295</v>
      </c>
      <c r="F188" s="20" t="n">
        <v>53</v>
      </c>
      <c r="G188" s="20" t="n">
        <v>348</v>
      </c>
      <c r="H188" s="16" t="n">
        <v>85</v>
      </c>
      <c r="I188" s="16" t="n">
        <f aca="false">IF(H188&gt;=75,20,ROUND(H188/75*10,1)*2)</f>
        <v>20</v>
      </c>
      <c r="J188" s="17" t="n">
        <f aca="false">(E188+Summary!$G$11)/(G188+Summary!$G$11)</f>
        <v>0.887473460721868</v>
      </c>
      <c r="K188" s="18" t="n">
        <f aca="false">J188*100-H188</f>
        <v>3.74734607218684</v>
      </c>
      <c r="L188" s="16" t="n">
        <f aca="false">IF(J188&gt;=0.75,20,ROUND(J188*100/75*10,1)*2)</f>
        <v>20</v>
      </c>
      <c r="M188" s="18" t="n">
        <f aca="false">L188-I188</f>
        <v>0</v>
      </c>
    </row>
    <row r="189" customFormat="false" ht="15" hidden="false" customHeight="false" outlineLevel="0" collapsed="false">
      <c r="A189" s="21" t="n">
        <v>184</v>
      </c>
      <c r="B189" s="21" t="s">
        <v>416</v>
      </c>
      <c r="C189" s="22" t="s">
        <v>417</v>
      </c>
      <c r="D189" s="21" t="s">
        <v>35</v>
      </c>
      <c r="E189" s="23" t="n">
        <v>300</v>
      </c>
      <c r="F189" s="23" t="n">
        <v>48</v>
      </c>
      <c r="G189" s="23" t="n">
        <v>348</v>
      </c>
      <c r="H189" s="24" t="n">
        <v>86</v>
      </c>
      <c r="I189" s="24" t="n">
        <f aca="false">IF(H189&gt;=75,20,ROUND(H189/75*10,1)*2)</f>
        <v>20</v>
      </c>
      <c r="J189" s="25" t="n">
        <f aca="false">(E189+Summary!$G$11)/(G189+Summary!$G$11)</f>
        <v>0.898089171974522</v>
      </c>
      <c r="K189" s="26" t="n">
        <f aca="false">J189*100-H189</f>
        <v>3.80891719745223</v>
      </c>
      <c r="L189" s="24" t="n">
        <f aca="false">IF(J189&gt;=0.75,20,ROUND(J189*100/75*10,1)*2)</f>
        <v>20</v>
      </c>
      <c r="M189" s="26" t="n">
        <f aca="false">L189-I189</f>
        <v>0</v>
      </c>
    </row>
    <row r="190" customFormat="false" ht="15" hidden="false" customHeight="false" outlineLevel="0" collapsed="false">
      <c r="A190" s="15" t="n">
        <v>185</v>
      </c>
      <c r="B190" s="15" t="s">
        <v>418</v>
      </c>
      <c r="C190" s="19" t="s">
        <v>419</v>
      </c>
      <c r="D190" s="15" t="s">
        <v>35</v>
      </c>
      <c r="E190" s="20" t="n">
        <v>301</v>
      </c>
      <c r="F190" s="20" t="n">
        <v>47</v>
      </c>
      <c r="G190" s="20" t="n">
        <v>348</v>
      </c>
      <c r="H190" s="16" t="n">
        <v>86</v>
      </c>
      <c r="I190" s="16" t="n">
        <f aca="false">IF(H190&gt;=75,20,ROUND(H190/75*10,1)*2)</f>
        <v>20</v>
      </c>
      <c r="J190" s="17" t="n">
        <f aca="false">(E190+Summary!$G$11)/(G190+Summary!$G$11)</f>
        <v>0.900212314225053</v>
      </c>
      <c r="K190" s="18" t="n">
        <f aca="false">J190*100-H190</f>
        <v>4.02123142250531</v>
      </c>
      <c r="L190" s="16" t="n">
        <f aca="false">IF(J190&gt;=0.75,20,ROUND(J190*100/75*10,1)*2)</f>
        <v>20</v>
      </c>
      <c r="M190" s="18" t="n">
        <f aca="false">L190-I190</f>
        <v>0</v>
      </c>
    </row>
    <row r="191" customFormat="false" ht="15" hidden="false" customHeight="false" outlineLevel="0" collapsed="false">
      <c r="A191" s="21" t="n">
        <v>186</v>
      </c>
      <c r="B191" s="21" t="s">
        <v>420</v>
      </c>
      <c r="C191" s="22" t="s">
        <v>421</v>
      </c>
      <c r="D191" s="21" t="s">
        <v>36</v>
      </c>
      <c r="E191" s="23" t="n">
        <v>68</v>
      </c>
      <c r="F191" s="23" t="n">
        <v>280</v>
      </c>
      <c r="G191" s="23" t="n">
        <v>348</v>
      </c>
      <c r="H191" s="24" t="n">
        <v>20</v>
      </c>
      <c r="I191" s="24" t="n">
        <f aca="false">IF(H191&gt;=75,20,ROUND(H191/75*10,1)*2)</f>
        <v>5.4</v>
      </c>
      <c r="J191" s="25" t="n">
        <f aca="false">(E191+Summary!$G$11)/(G191+Summary!$G$11)</f>
        <v>0.40552016985138</v>
      </c>
      <c r="K191" s="26" t="n">
        <f aca="false">J191*100-H191</f>
        <v>20.552016985138</v>
      </c>
      <c r="L191" s="24" t="n">
        <f aca="false">IF(J191&gt;=0.75,20,ROUND(J191*100/75*10,1)*2)</f>
        <v>10.8</v>
      </c>
      <c r="M191" s="26" t="n">
        <f aca="false">L191-I191</f>
        <v>5.4</v>
      </c>
    </row>
    <row r="192" customFormat="false" ht="15" hidden="false" customHeight="false" outlineLevel="0" collapsed="false">
      <c r="A192" s="15" t="n">
        <v>187</v>
      </c>
      <c r="B192" s="15" t="s">
        <v>422</v>
      </c>
      <c r="C192" s="19" t="s">
        <v>423</v>
      </c>
      <c r="D192" s="15" t="s">
        <v>36</v>
      </c>
      <c r="E192" s="20" t="n">
        <v>76</v>
      </c>
      <c r="F192" s="20" t="n">
        <v>272</v>
      </c>
      <c r="G192" s="20" t="n">
        <v>348</v>
      </c>
      <c r="H192" s="16" t="n">
        <v>22</v>
      </c>
      <c r="I192" s="16" t="n">
        <f aca="false">IF(H192&gt;=75,20,ROUND(H192/75*10,1)*2)</f>
        <v>5.8</v>
      </c>
      <c r="J192" s="17" t="n">
        <f aca="false">(E192+Summary!$G$11)/(G192+Summary!$G$11)</f>
        <v>0.422505307855626</v>
      </c>
      <c r="K192" s="18" t="n">
        <f aca="false">J192*100-H192</f>
        <v>20.2505307855626</v>
      </c>
      <c r="L192" s="16" t="n">
        <f aca="false">IF(J192&gt;=0.75,20,ROUND(J192*100/75*10,1)*2)</f>
        <v>11.2</v>
      </c>
      <c r="M192" s="18" t="n">
        <f aca="false">L192-I192</f>
        <v>5.4</v>
      </c>
    </row>
    <row r="193" customFormat="false" ht="15" hidden="false" customHeight="false" outlineLevel="0" collapsed="false">
      <c r="A193" s="21" t="n">
        <v>188</v>
      </c>
      <c r="B193" s="21" t="s">
        <v>424</v>
      </c>
      <c r="C193" s="22" t="s">
        <v>425</v>
      </c>
      <c r="D193" s="21" t="s">
        <v>36</v>
      </c>
      <c r="E193" s="23" t="n">
        <v>91</v>
      </c>
      <c r="F193" s="23" t="n">
        <v>257</v>
      </c>
      <c r="G193" s="23" t="n">
        <v>348</v>
      </c>
      <c r="H193" s="24" t="n">
        <v>26</v>
      </c>
      <c r="I193" s="24" t="n">
        <f aca="false">IF(H193&gt;=75,20,ROUND(H193/75*10,1)*2)</f>
        <v>7</v>
      </c>
      <c r="J193" s="25" t="n">
        <f aca="false">(E193+Summary!$G$11)/(G193+Summary!$G$11)</f>
        <v>0.454352441613588</v>
      </c>
      <c r="K193" s="26" t="n">
        <f aca="false">J193*100-H193</f>
        <v>19.4352441613588</v>
      </c>
      <c r="L193" s="24" t="n">
        <f aca="false">IF(J193&gt;=0.75,20,ROUND(J193*100/75*10,1)*2)</f>
        <v>12.2</v>
      </c>
      <c r="M193" s="26" t="n">
        <f aca="false">L193-I193</f>
        <v>5.2</v>
      </c>
    </row>
    <row r="194" customFormat="false" ht="15" hidden="false" customHeight="false" outlineLevel="0" collapsed="false">
      <c r="A194" s="15" t="n">
        <v>189</v>
      </c>
      <c r="B194" s="15" t="s">
        <v>426</v>
      </c>
      <c r="C194" s="19" t="s">
        <v>427</v>
      </c>
      <c r="D194" s="15" t="s">
        <v>36</v>
      </c>
      <c r="E194" s="20" t="n">
        <v>158</v>
      </c>
      <c r="F194" s="20" t="n">
        <v>190</v>
      </c>
      <c r="G194" s="20" t="n">
        <v>348</v>
      </c>
      <c r="H194" s="16" t="n">
        <v>45</v>
      </c>
      <c r="I194" s="16" t="n">
        <f aca="false">IF(H194&gt;=75,20,ROUND(H194/75*10,1)*2)</f>
        <v>12</v>
      </c>
      <c r="J194" s="17" t="n">
        <f aca="false">(E194+Summary!$G$11)/(G194+Summary!$G$11)</f>
        <v>0.596602972399151</v>
      </c>
      <c r="K194" s="18" t="n">
        <f aca="false">J194*100-H194</f>
        <v>14.6602972399151</v>
      </c>
      <c r="L194" s="16" t="n">
        <f aca="false">IF(J194&gt;=0.75,20,ROUND(J194*100/75*10,1)*2)</f>
        <v>16</v>
      </c>
      <c r="M194" s="18" t="n">
        <f aca="false">L194-I194</f>
        <v>4</v>
      </c>
    </row>
    <row r="195" customFormat="false" ht="15" hidden="false" customHeight="false" outlineLevel="0" collapsed="false">
      <c r="A195" s="21" t="n">
        <v>190</v>
      </c>
      <c r="B195" s="21" t="s">
        <v>428</v>
      </c>
      <c r="C195" s="22" t="s">
        <v>429</v>
      </c>
      <c r="D195" s="21" t="s">
        <v>36</v>
      </c>
      <c r="E195" s="23" t="n">
        <v>160</v>
      </c>
      <c r="F195" s="23" t="n">
        <v>188</v>
      </c>
      <c r="G195" s="23" t="n">
        <v>348</v>
      </c>
      <c r="H195" s="24" t="n">
        <v>46</v>
      </c>
      <c r="I195" s="24" t="n">
        <f aca="false">IF(H195&gt;=75,20,ROUND(H195/75*10,1)*2)</f>
        <v>12.2</v>
      </c>
      <c r="J195" s="25" t="n">
        <f aca="false">(E195+Summary!$G$11)/(G195+Summary!$G$11)</f>
        <v>0.600849256900212</v>
      </c>
      <c r="K195" s="26" t="n">
        <f aca="false">J195*100-H195</f>
        <v>14.0849256900212</v>
      </c>
      <c r="L195" s="24" t="n">
        <f aca="false">IF(J195&gt;=0.75,20,ROUND(J195*100/75*10,1)*2)</f>
        <v>16</v>
      </c>
      <c r="M195" s="26" t="n">
        <f aca="false">L195-I195</f>
        <v>3.8</v>
      </c>
    </row>
    <row r="196" customFormat="false" ht="15" hidden="false" customHeight="false" outlineLevel="0" collapsed="false">
      <c r="A196" s="15" t="n">
        <v>191</v>
      </c>
      <c r="B196" s="15" t="s">
        <v>430</v>
      </c>
      <c r="C196" s="19" t="s">
        <v>431</v>
      </c>
      <c r="D196" s="15" t="s">
        <v>36</v>
      </c>
      <c r="E196" s="20" t="n">
        <v>170</v>
      </c>
      <c r="F196" s="20" t="n">
        <v>178</v>
      </c>
      <c r="G196" s="20" t="n">
        <v>348</v>
      </c>
      <c r="H196" s="16" t="n">
        <v>49</v>
      </c>
      <c r="I196" s="16" t="n">
        <f aca="false">IF(H196&gt;=75,20,ROUND(H196/75*10,1)*2)</f>
        <v>13</v>
      </c>
      <c r="J196" s="17" t="n">
        <f aca="false">(E196+Summary!$G$11)/(G196+Summary!$G$11)</f>
        <v>0.62208067940552</v>
      </c>
      <c r="K196" s="18" t="n">
        <f aca="false">J196*100-H196</f>
        <v>13.208067940552</v>
      </c>
      <c r="L196" s="16" t="n">
        <f aca="false">IF(J196&gt;=0.75,20,ROUND(J196*100/75*10,1)*2)</f>
        <v>16.6</v>
      </c>
      <c r="M196" s="18" t="n">
        <f aca="false">L196-I196</f>
        <v>3.6</v>
      </c>
    </row>
    <row r="197" customFormat="false" ht="15" hidden="false" customHeight="false" outlineLevel="0" collapsed="false">
      <c r="A197" s="21" t="n">
        <v>192</v>
      </c>
      <c r="B197" s="21" t="s">
        <v>432</v>
      </c>
      <c r="C197" s="22" t="s">
        <v>433</v>
      </c>
      <c r="D197" s="21" t="s">
        <v>36</v>
      </c>
      <c r="E197" s="23" t="n">
        <v>180</v>
      </c>
      <c r="F197" s="23" t="n">
        <v>168</v>
      </c>
      <c r="G197" s="23" t="n">
        <v>348</v>
      </c>
      <c r="H197" s="24" t="n">
        <v>52</v>
      </c>
      <c r="I197" s="24" t="n">
        <f aca="false">IF(H197&gt;=75,20,ROUND(H197/75*10,1)*2)</f>
        <v>13.8</v>
      </c>
      <c r="J197" s="25" t="n">
        <f aca="false">(E197+Summary!$G$11)/(G197+Summary!$G$11)</f>
        <v>0.643312101910828</v>
      </c>
      <c r="K197" s="26" t="n">
        <f aca="false">J197*100-H197</f>
        <v>12.3312101910828</v>
      </c>
      <c r="L197" s="24" t="n">
        <f aca="false">IF(J197&gt;=0.75,20,ROUND(J197*100/75*10,1)*2)</f>
        <v>17.2</v>
      </c>
      <c r="M197" s="26" t="n">
        <f aca="false">L197-I197</f>
        <v>3.4</v>
      </c>
    </row>
    <row r="198" customFormat="false" ht="15" hidden="false" customHeight="false" outlineLevel="0" collapsed="false">
      <c r="A198" s="15" t="n">
        <v>193</v>
      </c>
      <c r="B198" s="15" t="s">
        <v>434</v>
      </c>
      <c r="C198" s="19" t="s">
        <v>435</v>
      </c>
      <c r="D198" s="15" t="s">
        <v>36</v>
      </c>
      <c r="E198" s="20" t="n">
        <v>187</v>
      </c>
      <c r="F198" s="20" t="n">
        <v>161</v>
      </c>
      <c r="G198" s="20" t="n">
        <v>348</v>
      </c>
      <c r="H198" s="16" t="n">
        <v>54</v>
      </c>
      <c r="I198" s="16" t="n">
        <f aca="false">IF(H198&gt;=75,20,ROUND(H198/75*10,1)*2)</f>
        <v>14.4</v>
      </c>
      <c r="J198" s="17" t="n">
        <f aca="false">(E198+Summary!$G$11)/(G198+Summary!$G$11)</f>
        <v>0.658174097664544</v>
      </c>
      <c r="K198" s="18" t="n">
        <f aca="false">J198*100-H198</f>
        <v>11.8174097664543</v>
      </c>
      <c r="L198" s="16" t="n">
        <f aca="false">IF(J198&gt;=0.75,20,ROUND(J198*100/75*10,1)*2)</f>
        <v>17.6</v>
      </c>
      <c r="M198" s="18" t="n">
        <f aca="false">L198-I198</f>
        <v>3.2</v>
      </c>
    </row>
    <row r="199" customFormat="false" ht="15" hidden="false" customHeight="false" outlineLevel="0" collapsed="false">
      <c r="A199" s="21" t="n">
        <v>194</v>
      </c>
      <c r="B199" s="21" t="s">
        <v>436</v>
      </c>
      <c r="C199" s="22" t="s">
        <v>437</v>
      </c>
      <c r="D199" s="21" t="s">
        <v>36</v>
      </c>
      <c r="E199" s="23" t="n">
        <v>188</v>
      </c>
      <c r="F199" s="23" t="n">
        <v>160</v>
      </c>
      <c r="G199" s="23" t="n">
        <v>348</v>
      </c>
      <c r="H199" s="24" t="n">
        <v>54</v>
      </c>
      <c r="I199" s="24" t="n">
        <f aca="false">IF(H199&gt;=75,20,ROUND(H199/75*10,1)*2)</f>
        <v>14.4</v>
      </c>
      <c r="J199" s="25" t="n">
        <f aca="false">(E199+Summary!$G$11)/(G199+Summary!$G$11)</f>
        <v>0.660297239915074</v>
      </c>
      <c r="K199" s="26" t="n">
        <f aca="false">J199*100-H199</f>
        <v>12.0297239915074</v>
      </c>
      <c r="L199" s="24" t="n">
        <f aca="false">IF(J199&gt;=0.75,20,ROUND(J199*100/75*10,1)*2)</f>
        <v>17.6</v>
      </c>
      <c r="M199" s="26" t="n">
        <f aca="false">L199-I199</f>
        <v>3.2</v>
      </c>
    </row>
    <row r="200" customFormat="false" ht="15" hidden="false" customHeight="false" outlineLevel="0" collapsed="false">
      <c r="A200" s="15" t="n">
        <v>195</v>
      </c>
      <c r="B200" s="15" t="s">
        <v>438</v>
      </c>
      <c r="C200" s="19" t="s">
        <v>439</v>
      </c>
      <c r="D200" s="15" t="s">
        <v>36</v>
      </c>
      <c r="E200" s="20" t="n">
        <v>190</v>
      </c>
      <c r="F200" s="20" t="n">
        <v>158</v>
      </c>
      <c r="G200" s="20" t="n">
        <v>348</v>
      </c>
      <c r="H200" s="16" t="n">
        <v>55</v>
      </c>
      <c r="I200" s="16" t="n">
        <f aca="false">IF(H200&gt;=75,20,ROUND(H200/75*10,1)*2)</f>
        <v>14.6</v>
      </c>
      <c r="J200" s="17" t="n">
        <f aca="false">(E200+Summary!$G$11)/(G200+Summary!$G$11)</f>
        <v>0.664543524416136</v>
      </c>
      <c r="K200" s="18" t="n">
        <f aca="false">J200*100-H200</f>
        <v>11.4543524416136</v>
      </c>
      <c r="L200" s="16" t="n">
        <f aca="false">IF(J200&gt;=0.75,20,ROUND(J200*100/75*10,1)*2)</f>
        <v>17.8</v>
      </c>
      <c r="M200" s="18" t="n">
        <f aca="false">L200-I200</f>
        <v>3.2</v>
      </c>
    </row>
    <row r="201" customFormat="false" ht="15" hidden="false" customHeight="false" outlineLevel="0" collapsed="false">
      <c r="A201" s="21" t="n">
        <v>196</v>
      </c>
      <c r="B201" s="21" t="s">
        <v>440</v>
      </c>
      <c r="C201" s="22" t="s">
        <v>441</v>
      </c>
      <c r="D201" s="21" t="s">
        <v>36</v>
      </c>
      <c r="E201" s="23" t="n">
        <v>194</v>
      </c>
      <c r="F201" s="23" t="n">
        <v>154</v>
      </c>
      <c r="G201" s="23" t="n">
        <v>348</v>
      </c>
      <c r="H201" s="24" t="n">
        <v>56</v>
      </c>
      <c r="I201" s="24" t="n">
        <f aca="false">IF(H201&gt;=75,20,ROUND(H201/75*10,1)*2)</f>
        <v>15</v>
      </c>
      <c r="J201" s="25" t="n">
        <f aca="false">(E201+Summary!$G$11)/(G201+Summary!$G$11)</f>
        <v>0.673036093418259</v>
      </c>
      <c r="K201" s="26" t="n">
        <f aca="false">J201*100-H201</f>
        <v>11.3036093418259</v>
      </c>
      <c r="L201" s="24" t="n">
        <f aca="false">IF(J201&gt;=0.75,20,ROUND(J201*100/75*10,1)*2)</f>
        <v>18</v>
      </c>
      <c r="M201" s="26" t="n">
        <f aca="false">L201-I201</f>
        <v>3</v>
      </c>
    </row>
    <row r="202" customFormat="false" ht="15" hidden="false" customHeight="false" outlineLevel="0" collapsed="false">
      <c r="A202" s="15" t="n">
        <v>197</v>
      </c>
      <c r="B202" s="15" t="s">
        <v>442</v>
      </c>
      <c r="C202" s="19" t="s">
        <v>443</v>
      </c>
      <c r="D202" s="15" t="s">
        <v>36</v>
      </c>
      <c r="E202" s="20" t="n">
        <v>200</v>
      </c>
      <c r="F202" s="20" t="n">
        <v>148</v>
      </c>
      <c r="G202" s="20" t="n">
        <v>348</v>
      </c>
      <c r="H202" s="16" t="n">
        <v>57</v>
      </c>
      <c r="I202" s="16" t="n">
        <f aca="false">IF(H202&gt;=75,20,ROUND(H202/75*10,1)*2)</f>
        <v>15.2</v>
      </c>
      <c r="J202" s="17" t="n">
        <f aca="false">(E202+Summary!$G$11)/(G202+Summary!$G$11)</f>
        <v>0.685774946921444</v>
      </c>
      <c r="K202" s="18" t="n">
        <f aca="false">J202*100-H202</f>
        <v>11.5774946921444</v>
      </c>
      <c r="L202" s="16" t="n">
        <f aca="false">IF(J202&gt;=0.75,20,ROUND(J202*100/75*10,1)*2)</f>
        <v>18.2</v>
      </c>
      <c r="M202" s="18" t="n">
        <f aca="false">L202-I202</f>
        <v>3</v>
      </c>
    </row>
    <row r="203" customFormat="false" ht="15" hidden="false" customHeight="false" outlineLevel="0" collapsed="false">
      <c r="A203" s="21" t="n">
        <v>198</v>
      </c>
      <c r="B203" s="21" t="s">
        <v>444</v>
      </c>
      <c r="C203" s="22" t="s">
        <v>445</v>
      </c>
      <c r="D203" s="21" t="s">
        <v>36</v>
      </c>
      <c r="E203" s="23" t="n">
        <v>210</v>
      </c>
      <c r="F203" s="23" t="n">
        <v>138</v>
      </c>
      <c r="G203" s="23" t="n">
        <v>348</v>
      </c>
      <c r="H203" s="24" t="n">
        <v>60</v>
      </c>
      <c r="I203" s="24" t="n">
        <f aca="false">IF(H203&gt;=75,20,ROUND(H203/75*10,1)*2)</f>
        <v>16</v>
      </c>
      <c r="J203" s="25" t="n">
        <f aca="false">(E203+Summary!$G$11)/(G203+Summary!$G$11)</f>
        <v>0.707006369426752</v>
      </c>
      <c r="K203" s="26" t="n">
        <f aca="false">J203*100-H203</f>
        <v>10.7006369426752</v>
      </c>
      <c r="L203" s="24" t="n">
        <f aca="false">IF(J203&gt;=0.75,20,ROUND(J203*100/75*10,1)*2)</f>
        <v>18.8</v>
      </c>
      <c r="M203" s="26" t="n">
        <f aca="false">L203-I203</f>
        <v>2.8</v>
      </c>
    </row>
    <row r="204" customFormat="false" ht="15" hidden="false" customHeight="false" outlineLevel="0" collapsed="false">
      <c r="A204" s="15" t="n">
        <v>199</v>
      </c>
      <c r="B204" s="15" t="s">
        <v>446</v>
      </c>
      <c r="C204" s="19" t="s">
        <v>447</v>
      </c>
      <c r="D204" s="15" t="s">
        <v>36</v>
      </c>
      <c r="E204" s="20" t="n">
        <v>227</v>
      </c>
      <c r="F204" s="20" t="n">
        <v>121</v>
      </c>
      <c r="G204" s="20" t="n">
        <v>348</v>
      </c>
      <c r="H204" s="16" t="n">
        <v>65</v>
      </c>
      <c r="I204" s="16" t="n">
        <f aca="false">IF(H204&gt;=75,20,ROUND(H204/75*10,1)*2)</f>
        <v>17.4</v>
      </c>
      <c r="J204" s="17" t="n">
        <f aca="false">(E204+Summary!$G$11)/(G204+Summary!$G$11)</f>
        <v>0.743099787685775</v>
      </c>
      <c r="K204" s="18" t="n">
        <f aca="false">J204*100-H204</f>
        <v>9.30997876857749</v>
      </c>
      <c r="L204" s="16" t="n">
        <f aca="false">IF(J204&gt;=0.75,20,ROUND(J204*100/75*10,1)*2)</f>
        <v>19.8</v>
      </c>
      <c r="M204" s="18" t="n">
        <f aca="false">L204-I204</f>
        <v>2.4</v>
      </c>
    </row>
    <row r="205" customFormat="false" ht="15" hidden="false" customHeight="false" outlineLevel="0" collapsed="false">
      <c r="A205" s="21" t="n">
        <v>200</v>
      </c>
      <c r="B205" s="21" t="s">
        <v>448</v>
      </c>
      <c r="C205" s="22" t="s">
        <v>449</v>
      </c>
      <c r="D205" s="21" t="s">
        <v>36</v>
      </c>
      <c r="E205" s="23" t="n">
        <v>225</v>
      </c>
      <c r="F205" s="23" t="n">
        <v>123</v>
      </c>
      <c r="G205" s="23" t="n">
        <v>348</v>
      </c>
      <c r="H205" s="24" t="n">
        <v>65</v>
      </c>
      <c r="I205" s="24" t="n">
        <f aca="false">IF(H205&gt;=75,20,ROUND(H205/75*10,1)*2)</f>
        <v>17.4</v>
      </c>
      <c r="J205" s="25" t="n">
        <f aca="false">(E205+Summary!$G$11)/(G205+Summary!$G$11)</f>
        <v>0.738853503184713</v>
      </c>
      <c r="K205" s="26" t="n">
        <f aca="false">J205*100-H205</f>
        <v>8.88535031847134</v>
      </c>
      <c r="L205" s="24" t="n">
        <f aca="false">IF(J205&gt;=0.75,20,ROUND(J205*100/75*10,1)*2)</f>
        <v>19.8</v>
      </c>
      <c r="M205" s="26" t="n">
        <f aca="false">L205-I205</f>
        <v>2.4</v>
      </c>
    </row>
    <row r="206" customFormat="false" ht="15" hidden="false" customHeight="false" outlineLevel="0" collapsed="false">
      <c r="A206" s="15" t="n">
        <v>201</v>
      </c>
      <c r="B206" s="15" t="s">
        <v>450</v>
      </c>
      <c r="C206" s="19" t="s">
        <v>451</v>
      </c>
      <c r="D206" s="15" t="s">
        <v>36</v>
      </c>
      <c r="E206" s="20" t="n">
        <v>229</v>
      </c>
      <c r="F206" s="20" t="n">
        <v>119</v>
      </c>
      <c r="G206" s="20" t="n">
        <v>348</v>
      </c>
      <c r="H206" s="16" t="n">
        <v>66</v>
      </c>
      <c r="I206" s="16" t="n">
        <f aca="false">IF(H206&gt;=75,20,ROUND(H206/75*10,1)*2)</f>
        <v>17.6</v>
      </c>
      <c r="J206" s="17" t="n">
        <f aca="false">(E206+Summary!$G$11)/(G206+Summary!$G$11)</f>
        <v>0.747346072186837</v>
      </c>
      <c r="K206" s="18" t="n">
        <f aca="false">J206*100-H206</f>
        <v>8.73460721868365</v>
      </c>
      <c r="L206" s="16" t="n">
        <f aca="false">IF(J206&gt;=0.75,20,ROUND(J206*100/75*10,1)*2)</f>
        <v>20</v>
      </c>
      <c r="M206" s="18" t="n">
        <f aca="false">L206-I206</f>
        <v>2.4</v>
      </c>
    </row>
    <row r="207" customFormat="false" ht="15" hidden="false" customHeight="false" outlineLevel="0" collapsed="false">
      <c r="A207" s="21" t="n">
        <v>202</v>
      </c>
      <c r="B207" s="21" t="s">
        <v>452</v>
      </c>
      <c r="C207" s="22" t="s">
        <v>453</v>
      </c>
      <c r="D207" s="21" t="s">
        <v>36</v>
      </c>
      <c r="E207" s="23" t="n">
        <v>229</v>
      </c>
      <c r="F207" s="23" t="n">
        <v>119</v>
      </c>
      <c r="G207" s="23" t="n">
        <v>348</v>
      </c>
      <c r="H207" s="24" t="n">
        <v>66</v>
      </c>
      <c r="I207" s="24" t="n">
        <f aca="false">IF(H207&gt;=75,20,ROUND(H207/75*10,1)*2)</f>
        <v>17.6</v>
      </c>
      <c r="J207" s="25" t="n">
        <f aca="false">(E207+Summary!$G$11)/(G207+Summary!$G$11)</f>
        <v>0.747346072186837</v>
      </c>
      <c r="K207" s="26" t="n">
        <f aca="false">J207*100-H207</f>
        <v>8.73460721868365</v>
      </c>
      <c r="L207" s="24" t="n">
        <f aca="false">IF(J207&gt;=0.75,20,ROUND(J207*100/75*10,1)*2)</f>
        <v>20</v>
      </c>
      <c r="M207" s="26" t="n">
        <f aca="false">L207-I207</f>
        <v>2.4</v>
      </c>
    </row>
    <row r="208" customFormat="false" ht="15" hidden="false" customHeight="false" outlineLevel="0" collapsed="false">
      <c r="A208" s="15" t="n">
        <v>203</v>
      </c>
      <c r="B208" s="15" t="s">
        <v>454</v>
      </c>
      <c r="C208" s="19" t="s">
        <v>455</v>
      </c>
      <c r="D208" s="15" t="s">
        <v>36</v>
      </c>
      <c r="E208" s="20" t="n">
        <v>233</v>
      </c>
      <c r="F208" s="20" t="n">
        <v>115</v>
      </c>
      <c r="G208" s="20" t="n">
        <v>348</v>
      </c>
      <c r="H208" s="16" t="n">
        <v>67</v>
      </c>
      <c r="I208" s="16" t="n">
        <f aca="false">IF(H208&gt;=75,20,ROUND(H208/75*10,1)*2)</f>
        <v>17.8</v>
      </c>
      <c r="J208" s="17" t="n">
        <f aca="false">(E208+Summary!$G$11)/(G208+Summary!$G$11)</f>
        <v>0.75583864118896</v>
      </c>
      <c r="K208" s="18" t="n">
        <f aca="false">J208*100-H208</f>
        <v>8.58386411889597</v>
      </c>
      <c r="L208" s="16" t="n">
        <f aca="false">IF(J208&gt;=0.75,20,ROUND(J208*100/75*10,1)*2)</f>
        <v>20</v>
      </c>
      <c r="M208" s="18" t="n">
        <f aca="false">L208-I208</f>
        <v>2.2</v>
      </c>
    </row>
    <row r="209" customFormat="false" ht="15" hidden="false" customHeight="false" outlineLevel="0" collapsed="false">
      <c r="A209" s="21" t="n">
        <v>204</v>
      </c>
      <c r="B209" s="21" t="s">
        <v>456</v>
      </c>
      <c r="C209" s="22" t="s">
        <v>457</v>
      </c>
      <c r="D209" s="21" t="s">
        <v>36</v>
      </c>
      <c r="E209" s="23" t="n">
        <v>238</v>
      </c>
      <c r="F209" s="23" t="n">
        <v>110</v>
      </c>
      <c r="G209" s="23" t="n">
        <v>348</v>
      </c>
      <c r="H209" s="24" t="n">
        <v>68</v>
      </c>
      <c r="I209" s="24" t="n">
        <f aca="false">IF(H209&gt;=75,20,ROUND(H209/75*10,1)*2)</f>
        <v>18.2</v>
      </c>
      <c r="J209" s="25" t="n">
        <f aca="false">(E209+Summary!$G$11)/(G209+Summary!$G$11)</f>
        <v>0.766454352441614</v>
      </c>
      <c r="K209" s="26" t="n">
        <f aca="false">J209*100-H209</f>
        <v>8.64543524416136</v>
      </c>
      <c r="L209" s="24" t="n">
        <f aca="false">IF(J209&gt;=0.75,20,ROUND(J209*100/75*10,1)*2)</f>
        <v>20</v>
      </c>
      <c r="M209" s="26" t="n">
        <f aca="false">L209-I209</f>
        <v>1.8</v>
      </c>
    </row>
    <row r="210" customFormat="false" ht="15" hidden="false" customHeight="false" outlineLevel="0" collapsed="false">
      <c r="A210" s="15" t="n">
        <v>205</v>
      </c>
      <c r="B210" s="15" t="s">
        <v>458</v>
      </c>
      <c r="C210" s="19" t="s">
        <v>459</v>
      </c>
      <c r="D210" s="15" t="s">
        <v>36</v>
      </c>
      <c r="E210" s="20" t="n">
        <v>244</v>
      </c>
      <c r="F210" s="20" t="n">
        <v>104</v>
      </c>
      <c r="G210" s="20" t="n">
        <v>348</v>
      </c>
      <c r="H210" s="16" t="n">
        <v>70</v>
      </c>
      <c r="I210" s="16" t="n">
        <f aca="false">IF(H210&gt;=75,20,ROUND(H210/75*10,1)*2)</f>
        <v>18.6</v>
      </c>
      <c r="J210" s="17" t="n">
        <f aca="false">(E210+Summary!$G$11)/(G210+Summary!$G$11)</f>
        <v>0.779193205944798</v>
      </c>
      <c r="K210" s="18" t="n">
        <f aca="false">J210*100-H210</f>
        <v>7.91932059447984</v>
      </c>
      <c r="L210" s="16" t="n">
        <f aca="false">IF(J210&gt;=0.75,20,ROUND(J210*100/75*10,1)*2)</f>
        <v>20</v>
      </c>
      <c r="M210" s="18" t="n">
        <f aca="false">L210-I210</f>
        <v>1.4</v>
      </c>
    </row>
    <row r="211" customFormat="false" ht="15" hidden="false" customHeight="false" outlineLevel="0" collapsed="false">
      <c r="A211" s="21" t="n">
        <v>206</v>
      </c>
      <c r="B211" s="21" t="s">
        <v>460</v>
      </c>
      <c r="C211" s="22" t="s">
        <v>461</v>
      </c>
      <c r="D211" s="21" t="s">
        <v>36</v>
      </c>
      <c r="E211" s="23" t="n">
        <v>247</v>
      </c>
      <c r="F211" s="23" t="n">
        <v>101</v>
      </c>
      <c r="G211" s="23" t="n">
        <v>348</v>
      </c>
      <c r="H211" s="24" t="n">
        <v>71</v>
      </c>
      <c r="I211" s="24" t="n">
        <f aca="false">IF(H211&gt;=75,20,ROUND(H211/75*10,1)*2)</f>
        <v>19</v>
      </c>
      <c r="J211" s="25" t="n">
        <f aca="false">(E211+Summary!$G$11)/(G211+Summary!$G$11)</f>
        <v>0.785562632696391</v>
      </c>
      <c r="K211" s="26" t="n">
        <f aca="false">J211*100-H211</f>
        <v>7.55626326963908</v>
      </c>
      <c r="L211" s="24" t="n">
        <f aca="false">IF(J211&gt;=0.75,20,ROUND(J211*100/75*10,1)*2)</f>
        <v>20</v>
      </c>
      <c r="M211" s="26" t="n">
        <f aca="false">L211-I211</f>
        <v>1</v>
      </c>
    </row>
    <row r="212" customFormat="false" ht="15" hidden="false" customHeight="false" outlineLevel="0" collapsed="false">
      <c r="A212" s="15" t="n">
        <v>207</v>
      </c>
      <c r="B212" s="15" t="s">
        <v>462</v>
      </c>
      <c r="C212" s="19" t="s">
        <v>463</v>
      </c>
      <c r="D212" s="15" t="s">
        <v>36</v>
      </c>
      <c r="E212" s="20" t="n">
        <v>250</v>
      </c>
      <c r="F212" s="20" t="n">
        <v>98</v>
      </c>
      <c r="G212" s="20" t="n">
        <v>348</v>
      </c>
      <c r="H212" s="16" t="n">
        <v>72</v>
      </c>
      <c r="I212" s="16" t="n">
        <f aca="false">IF(H212&gt;=75,20,ROUND(H212/75*10,1)*2)</f>
        <v>19.2</v>
      </c>
      <c r="J212" s="17" t="n">
        <f aca="false">(E212+Summary!$G$11)/(G212+Summary!$G$11)</f>
        <v>0.791932059447983</v>
      </c>
      <c r="K212" s="18" t="n">
        <f aca="false">J212*100-H212</f>
        <v>7.19320594479831</v>
      </c>
      <c r="L212" s="16" t="n">
        <f aca="false">IF(J212&gt;=0.75,20,ROUND(J212*100/75*10,1)*2)</f>
        <v>20</v>
      </c>
      <c r="M212" s="18" t="n">
        <f aca="false">L212-I212</f>
        <v>0.800000000000001</v>
      </c>
    </row>
    <row r="213" customFormat="false" ht="15" hidden="false" customHeight="false" outlineLevel="0" collapsed="false">
      <c r="A213" s="21" t="n">
        <v>208</v>
      </c>
      <c r="B213" s="21" t="s">
        <v>464</v>
      </c>
      <c r="C213" s="22" t="s">
        <v>465</v>
      </c>
      <c r="D213" s="21" t="s">
        <v>36</v>
      </c>
      <c r="E213" s="23" t="n">
        <v>256</v>
      </c>
      <c r="F213" s="23" t="n">
        <v>92</v>
      </c>
      <c r="G213" s="23" t="n">
        <v>348</v>
      </c>
      <c r="H213" s="24" t="n">
        <v>74</v>
      </c>
      <c r="I213" s="24" t="n">
        <f aca="false">IF(H213&gt;=75,20,ROUND(H213/75*10,1)*2)</f>
        <v>19.8</v>
      </c>
      <c r="J213" s="25" t="n">
        <f aca="false">(E213+Summary!$G$11)/(G213+Summary!$G$11)</f>
        <v>0.804670912951168</v>
      </c>
      <c r="K213" s="26" t="n">
        <f aca="false">J213*100-H213</f>
        <v>6.46709129511677</v>
      </c>
      <c r="L213" s="24" t="n">
        <f aca="false">IF(J213&gt;=0.75,20,ROUND(J213*100/75*10,1)*2)</f>
        <v>20</v>
      </c>
      <c r="M213" s="26" t="n">
        <f aca="false">L213-I213</f>
        <v>0.199999999999999</v>
      </c>
    </row>
    <row r="214" customFormat="false" ht="15" hidden="false" customHeight="false" outlineLevel="0" collapsed="false">
      <c r="A214" s="15" t="n">
        <v>209</v>
      </c>
      <c r="B214" s="15" t="s">
        <v>466</v>
      </c>
      <c r="C214" s="19" t="s">
        <v>467</v>
      </c>
      <c r="D214" s="15" t="s">
        <v>36</v>
      </c>
      <c r="E214" s="20" t="n">
        <v>260</v>
      </c>
      <c r="F214" s="20" t="n">
        <v>88</v>
      </c>
      <c r="G214" s="20" t="n">
        <v>348</v>
      </c>
      <c r="H214" s="16" t="n">
        <v>75</v>
      </c>
      <c r="I214" s="16" t="n">
        <f aca="false">IF(H214&gt;=75,20,ROUND(H214/75*10,1)*2)</f>
        <v>20</v>
      </c>
      <c r="J214" s="17" t="n">
        <f aca="false">(E214+Summary!$G$11)/(G214+Summary!$G$11)</f>
        <v>0.813163481953291</v>
      </c>
      <c r="K214" s="18" t="n">
        <f aca="false">J214*100-H214</f>
        <v>6.31634819532908</v>
      </c>
      <c r="L214" s="16" t="n">
        <f aca="false">IF(J214&gt;=0.75,20,ROUND(J214*100/75*10,1)*2)</f>
        <v>20</v>
      </c>
      <c r="M214" s="18" t="n">
        <f aca="false">L214-I214</f>
        <v>0</v>
      </c>
    </row>
    <row r="215" customFormat="false" ht="15" hidden="false" customHeight="false" outlineLevel="0" collapsed="false">
      <c r="A215" s="21" t="n">
        <v>210</v>
      </c>
      <c r="B215" s="21" t="s">
        <v>468</v>
      </c>
      <c r="C215" s="22" t="s">
        <v>469</v>
      </c>
      <c r="D215" s="21" t="s">
        <v>36</v>
      </c>
      <c r="E215" s="23" t="n">
        <v>268</v>
      </c>
      <c r="F215" s="23" t="n">
        <v>80</v>
      </c>
      <c r="G215" s="23" t="n">
        <v>348</v>
      </c>
      <c r="H215" s="24" t="n">
        <v>77</v>
      </c>
      <c r="I215" s="24" t="n">
        <f aca="false">IF(H215&gt;=75,20,ROUND(H215/75*10,1)*2)</f>
        <v>20</v>
      </c>
      <c r="J215" s="25" t="n">
        <f aca="false">(E215+Summary!$G$11)/(G215+Summary!$G$11)</f>
        <v>0.830148619957537</v>
      </c>
      <c r="K215" s="26" t="n">
        <f aca="false">J215*100-H215</f>
        <v>6.01486199575372</v>
      </c>
      <c r="L215" s="24" t="n">
        <f aca="false">IF(J215&gt;=0.75,20,ROUND(J215*100/75*10,1)*2)</f>
        <v>20</v>
      </c>
      <c r="M215" s="26" t="n">
        <f aca="false">L215-I215</f>
        <v>0</v>
      </c>
    </row>
    <row r="216" customFormat="false" ht="15" hidden="false" customHeight="false" outlineLevel="0" collapsed="false">
      <c r="A216" s="15" t="n">
        <v>211</v>
      </c>
      <c r="B216" s="15" t="s">
        <v>470</v>
      </c>
      <c r="C216" s="19" t="s">
        <v>471</v>
      </c>
      <c r="D216" s="15" t="s">
        <v>36</v>
      </c>
      <c r="E216" s="20" t="n">
        <v>270</v>
      </c>
      <c r="F216" s="20" t="n">
        <v>78</v>
      </c>
      <c r="G216" s="20" t="n">
        <v>348</v>
      </c>
      <c r="H216" s="16" t="n">
        <v>78</v>
      </c>
      <c r="I216" s="16" t="n">
        <f aca="false">IF(H216&gt;=75,20,ROUND(H216/75*10,1)*2)</f>
        <v>20</v>
      </c>
      <c r="J216" s="17" t="n">
        <f aca="false">(E216+Summary!$G$11)/(G216+Summary!$G$11)</f>
        <v>0.834394904458599</v>
      </c>
      <c r="K216" s="18" t="n">
        <f aca="false">J216*100-H216</f>
        <v>5.43949044585987</v>
      </c>
      <c r="L216" s="16" t="n">
        <f aca="false">IF(J216&gt;=0.75,20,ROUND(J216*100/75*10,1)*2)</f>
        <v>20</v>
      </c>
      <c r="M216" s="18" t="n">
        <f aca="false">L216-I216</f>
        <v>0</v>
      </c>
    </row>
    <row r="217" customFormat="false" ht="15" hidden="false" customHeight="false" outlineLevel="0" collapsed="false">
      <c r="A217" s="21" t="n">
        <v>212</v>
      </c>
      <c r="B217" s="21" t="s">
        <v>472</v>
      </c>
      <c r="C217" s="22" t="s">
        <v>473</v>
      </c>
      <c r="D217" s="21" t="s">
        <v>36</v>
      </c>
      <c r="E217" s="23" t="n">
        <v>274</v>
      </c>
      <c r="F217" s="23" t="n">
        <v>74</v>
      </c>
      <c r="G217" s="23" t="n">
        <v>348</v>
      </c>
      <c r="H217" s="24" t="n">
        <v>79</v>
      </c>
      <c r="I217" s="24" t="n">
        <f aca="false">IF(H217&gt;=75,20,ROUND(H217/75*10,1)*2)</f>
        <v>20</v>
      </c>
      <c r="J217" s="25" t="n">
        <f aca="false">(E217+Summary!$G$11)/(G217+Summary!$G$11)</f>
        <v>0.842887473460722</v>
      </c>
      <c r="K217" s="26" t="n">
        <f aca="false">J217*100-H217</f>
        <v>5.28874734607219</v>
      </c>
      <c r="L217" s="24" t="n">
        <f aca="false">IF(J217&gt;=0.75,20,ROUND(J217*100/75*10,1)*2)</f>
        <v>20</v>
      </c>
      <c r="M217" s="26" t="n">
        <f aca="false">L217-I217</f>
        <v>0</v>
      </c>
    </row>
    <row r="218" customFormat="false" ht="15" hidden="false" customHeight="false" outlineLevel="0" collapsed="false">
      <c r="A218" s="15" t="n">
        <v>213</v>
      </c>
      <c r="B218" s="15" t="s">
        <v>474</v>
      </c>
      <c r="C218" s="19" t="s">
        <v>475</v>
      </c>
      <c r="D218" s="15" t="s">
        <v>36</v>
      </c>
      <c r="E218" s="20" t="n">
        <v>281</v>
      </c>
      <c r="F218" s="20" t="n">
        <v>67</v>
      </c>
      <c r="G218" s="20" t="n">
        <v>348</v>
      </c>
      <c r="H218" s="16" t="n">
        <v>81</v>
      </c>
      <c r="I218" s="16" t="n">
        <f aca="false">IF(H218&gt;=75,20,ROUND(H218/75*10,1)*2)</f>
        <v>20</v>
      </c>
      <c r="J218" s="17" t="n">
        <f aca="false">(E218+Summary!$G$11)/(G218+Summary!$G$11)</f>
        <v>0.857749469214437</v>
      </c>
      <c r="K218" s="18" t="n">
        <f aca="false">J218*100-H218</f>
        <v>4.77494692144374</v>
      </c>
      <c r="L218" s="16" t="n">
        <f aca="false">IF(J218&gt;=0.75,20,ROUND(J218*100/75*10,1)*2)</f>
        <v>20</v>
      </c>
      <c r="M218" s="18" t="n">
        <f aca="false">L218-I218</f>
        <v>0</v>
      </c>
    </row>
  </sheetData>
  <autoFilter ref="A5:M218"/>
  <mergeCells count="3">
    <mergeCell ref="A1:M1"/>
    <mergeCell ref="A2:M2"/>
    <mergeCell ref="A3:M3"/>
  </mergeCells>
  <conditionalFormatting sqref="I6:I218">
    <cfRule type="cellIs" priority="2" operator="lessThan" aboveAverage="0" equalAverage="0" bottom="0" percent="0" rank="0" text="" dxfId="8">
      <formula>10</formula>
    </cfRule>
    <cfRule type="cellIs" priority="3" operator="between" aboveAverage="0" equalAverage="0" bottom="0" percent="0" rank="0" text="" dxfId="9">
      <formula>10</formula>
      <formula>14.999</formula>
    </cfRule>
    <cfRule type="cellIs" priority="4" operator="between" aboveAverage="0" equalAverage="0" bottom="0" percent="0" rank="0" text="" dxfId="10">
      <formula>15</formula>
      <formula>19.999</formula>
    </cfRule>
    <cfRule type="cellIs" priority="5" operator="equal" aboveAverage="0" equalAverage="0" bottom="0" percent="0" rank="0" text="" dxfId="11">
      <formula>20</formula>
    </cfRule>
  </conditionalFormatting>
  <conditionalFormatting sqref="L6:L218">
    <cfRule type="cellIs" priority="6" operator="lessThan" aboveAverage="0" equalAverage="0" bottom="0" percent="0" rank="0" text="" dxfId="8">
      <formula>10</formula>
    </cfRule>
    <cfRule type="cellIs" priority="7" operator="equal" aboveAverage="0" equalAverage="0" bottom="0" percent="0" rank="0" text="" dxfId="11">
      <formula>20</formula>
    </cfRule>
  </conditionalFormatting>
  <conditionalFormatting sqref="K6:K218">
    <cfRule type="cellIs" priority="8" operator="greater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2026-10-05T16:17:01Z</dcterms:created>
  <dc:creator>openpyxl</dc:creator>
  <dc:description/>
  <dc:language>en-US</dc:language>
  <cp:lastModifiedBy/>
  <dcterms:modified xsi:type="dcterms:W3CDTF">2026-10-05T16:17:01Z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