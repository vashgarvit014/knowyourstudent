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ll Report" sheetId="2" state="visible" r:id="rId4"/>
  </sheets>
  <definedNames>
    <definedName function="false" hidden="false" localSheetId="1" name="_xlnm.Print_Area" vbProcedure="false">'Full Report'!$A$1:$O$256</definedName>
    <definedName function="false" hidden="true" localSheetId="1" name="_xlnm._FilterDatabase" vbProcedure="false">'Full Report'!$A$5:$O$256</definedName>
    <definedName function="false" hidden="false" localSheetId="0" name="_xlnm.Print_Area" vbProcedure="false">Summary!$A$1:$L$43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<sst xmlns="http://schemas.openxmlformats.org/spreadsheetml/2006/main" count="856" uniqueCount="559">
  <si>
    <t xml:space="preserve">Poornima Institute of Engineering and Technology, Jaipur — Department of Computer Engineering</t>
  </si>
  <si>
    <t xml:space="preserve">B.Tech III Semester (CSE &amp; CS(R)) — Attendance Status Report: 75% Eligibility, RTU Debar Risk, Assignments &amp; SODECA Marks</t>
  </si>
  <si>
    <t xml:space="preserve">Prepared by: Dr. Anil Kumar, Professor &amp; Head, Department of Computer Engineering. Source: Digital Campus 'Complete Attendance Details' — Sections A, B, C as on 5 Oct 2026; Section D as on 6 Oct 2026 (latest files available with the Department). Student-wise details are on the 'Full Report' tab.</t>
  </si>
  <si>
    <t xml:space="preserve">Criteria used (edit the yellow cells — every figure on both tabs recalculates)</t>
  </si>
  <si>
    <t xml:space="preserve">RTU minimum attendance for examination eligibility; also the level for full SODECA attendance marks (20/20)</t>
  </si>
  <si>
    <t xml:space="preserve">Assignments are counted only at or above this attendance (Department rule)</t>
  </si>
  <si>
    <t xml:space="preserve">RTU debar risk: attendance below this level (threshold used in Department reports, as instructed by HOD)</t>
  </si>
  <si>
    <t xml:space="preserve">Section-wise status</t>
  </si>
  <si>
    <t xml:space="preserve">Section</t>
  </si>
  <si>
    <t xml:space="preserve">Data as on</t>
  </si>
  <si>
    <t xml:space="preserve">Students</t>
  </si>
  <si>
    <t xml:space="preserve">Average
Attendance</t>
  </si>
  <si>
    <t xml:space="preserve">75% &amp; above
(RTU eligible)</t>
  </si>
  <si>
    <t xml:space="preserve">% of
Section</t>
  </si>
  <si>
    <t xml:space="preserve">Below 75%
(RTU shortage)</t>
  </si>
  <si>
    <t xml:space="preserve">RTU Debar
Risk (&lt;30%)</t>
  </si>
  <si>
    <t xml:space="preserve">Assignments
Counted
(55%+)</t>
  </si>
  <si>
    <t xml:space="preserve">Assignments
Not Counted
(&lt;55%)</t>
  </si>
  <si>
    <t xml:space="preserve">Average
SODECA (/20)</t>
  </si>
  <si>
    <t xml:space="preserve">Full SODECA
20/20</t>
  </si>
  <si>
    <t xml:space="preserve">3CS-A</t>
  </si>
  <si>
    <t xml:space="preserve">3CS-B</t>
  </si>
  <si>
    <t xml:space="preserve">3CS-C</t>
  </si>
  <si>
    <t xml:space="preserve">3CSR-D</t>
  </si>
  <si>
    <t xml:space="preserve">Total (III Sem)</t>
  </si>
  <si>
    <t xml:space="preserve">Attendance distribution (number of students)</t>
  </si>
  <si>
    <t xml:space="preserve">Category</t>
  </si>
  <si>
    <t xml:space="preserve">What it means</t>
  </si>
  <si>
    <t xml:space="preserve">Total</t>
  </si>
  <si>
    <t xml:space="preserve">75%+ (all benefits)</t>
  </si>
  <si>
    <t xml:space="preserve">RTU eligible · full SODECA 20/20 · assignments counted</t>
  </si>
  <si>
    <t xml:space="preserve">55–74%</t>
  </si>
  <si>
    <t xml:space="preserve">RTU shortage · SODECA reduced · assignments counted</t>
  </si>
  <si>
    <t xml:space="preserve">30–54%</t>
  </si>
  <si>
    <t xml:space="preserve">RTU shortage · SODECA reduced · assignments NOT counted</t>
  </si>
  <si>
    <t xml:space="preserve">Below 30%</t>
  </si>
  <si>
    <t xml:space="preserve">RTU debar risk · assignments NOT counted</t>
  </si>
  <si>
    <t xml:space="preserve">Students at RTU debar risk (attendance below 30%) — immediate attention required</t>
  </si>
  <si>
    <t xml:space="preserve">S.No</t>
  </si>
  <si>
    <t xml:space="preserve">Reg. No</t>
  </si>
  <si>
    <t xml:space="preserve">Name</t>
  </si>
  <si>
    <t xml:space="preserve">Present</t>
  </si>
  <si>
    <t xml:space="preserve">Attendance %</t>
  </si>
  <si>
    <t xml:space="preserve">SODECA (/20)</t>
  </si>
  <si>
    <t xml:space="preserve">Assignments</t>
  </si>
  <si>
    <t xml:space="preserve">PIET25CS033</t>
  </si>
  <si>
    <t xml:space="preserve">ATHARAV AGARWAL</t>
  </si>
  <si>
    <t xml:space="preserve">PIET25CS057</t>
  </si>
  <si>
    <t xml:space="preserve">HARSH KUMAR</t>
  </si>
  <si>
    <t xml:space="preserve">PIET25CS034</t>
  </si>
  <si>
    <t xml:space="preserve">AYUSH JANGIR</t>
  </si>
  <si>
    <t xml:space="preserve">PIET25CS044</t>
  </si>
  <si>
    <t xml:space="preserve">DEVANSH SONI</t>
  </si>
  <si>
    <t xml:space="preserve">PIET25CS031</t>
  </si>
  <si>
    <t xml:space="preserve">ARYAN KUMAR</t>
  </si>
  <si>
    <t xml:space="preserve">PIET25CS098</t>
  </si>
  <si>
    <t xml:space="preserve">NAITIK BHATI</t>
  </si>
  <si>
    <t xml:space="preserve">PIET25CS076</t>
  </si>
  <si>
    <t xml:space="preserve">KHILVANSH SHARMA</t>
  </si>
  <si>
    <t xml:space="preserve">PIET25CS192</t>
  </si>
  <si>
    <t xml:space="preserve">SHUBHAM PRAJAPAT</t>
  </si>
  <si>
    <t xml:space="preserve">PIET25CS190</t>
  </si>
  <si>
    <t xml:space="preserve">RISHABH JAIN</t>
  </si>
  <si>
    <t xml:space="preserve">PIET25CR050</t>
  </si>
  <si>
    <t xml:space="preserve">SAKSHAM NAGAR</t>
  </si>
  <si>
    <t xml:space="preserve">Notes</t>
  </si>
  <si>
    <t xml:space="preserve">• RTU eligibility: 75% attendance is required for examination eligibility; students below 30% are flagged as at risk of debarment.</t>
  </si>
  <si>
    <t xml:space="preserve">• Assignments are counted only for students with 55% or more attendance (Department rule). For the student-wise list, filter 'Assignments' on the Full Report tab.</t>
  </si>
  <si>
    <t xml:space="preserve">• SODECA attendance component = 20 marks (Theory 10 + Practical 10): full marks at 75%+, proportional below 75% (SODECA scheme, II Year). Theory and Practical are taken at the same overall % here.</t>
  </si>
  <si>
    <t xml:space="preserve">• Sections A, B and C are as on 5 Oct 2026; Section D is as on 6 Oct 2026. Share the latest A/B/C file to bring all sections to the same date.</t>
  </si>
  <si>
    <t xml:space="preserve">Department of Computer Engineering, PIET Jaipur</t>
  </si>
  <si>
    <t xml:space="preserve">B.Tech III Semester — Student-wise Attendance Status (Sections A, B, C &amp; D)</t>
  </si>
  <si>
    <t xml:space="preserve">Attendance % = Present ÷ Total periods, rounded to a whole % as displayed in Digital Campus. SODECA attendance marks: 20/20 at 75%+, otherwise proportional (attendance ÷ 75% × 10 for Theory and for Practical). Filter 'Assignments' = Not Counted for the assignments list, or 'RTU Debar Risk' = YES for the debar-risk list. Criteria are on the Summary tab.</t>
  </si>
  <si>
    <t xml:space="preserve">Absent</t>
  </si>
  <si>
    <t xml:space="preserve">Total
Periods</t>
  </si>
  <si>
    <t xml:space="preserve">Attendance
%</t>
  </si>
  <si>
    <t xml:space="preserve">RTU 75%
Eligibility</t>
  </si>
  <si>
    <t xml:space="preserve">Assignments
(55%+)</t>
  </si>
  <si>
    <t xml:space="preserve">SODECA
Attendance
Marks (/20)</t>
  </si>
  <si>
    <t xml:space="preserve">SODECA
Marks Lost</t>
  </si>
  <si>
    <t xml:space="preserve">Overall
Category</t>
  </si>
  <si>
    <t xml:space="preserve">PIET25CS001</t>
  </si>
  <si>
    <t xml:space="preserve">AABHAS GHIYA</t>
  </si>
  <si>
    <t xml:space="preserve">PIET25CS002</t>
  </si>
  <si>
    <t xml:space="preserve">AARJAV JAIN</t>
  </si>
  <si>
    <t xml:space="preserve">PIET25CS003</t>
  </si>
  <si>
    <t xml:space="preserve">AARYA MAHESHWARI</t>
  </si>
  <si>
    <t xml:space="preserve">PIET25CS004</t>
  </si>
  <si>
    <t xml:space="preserve">AASID KHAN</t>
  </si>
  <si>
    <t xml:space="preserve">PIET25CS005</t>
  </si>
  <si>
    <t xml:space="preserve">ABHINAV MATHUR</t>
  </si>
  <si>
    <t xml:space="preserve">PIET25CS006</t>
  </si>
  <si>
    <t xml:space="preserve">ABHINAV SHARMA</t>
  </si>
  <si>
    <t xml:space="preserve">PIET25CS007</t>
  </si>
  <si>
    <t xml:space="preserve">ABHISHEK SHARMA</t>
  </si>
  <si>
    <t xml:space="preserve">PIET25CS008</t>
  </si>
  <si>
    <t xml:space="preserve">ADITI MALAV</t>
  </si>
  <si>
    <t xml:space="preserve">PIET25CS009</t>
  </si>
  <si>
    <t xml:space="preserve">ADITYA AGARWAL</t>
  </si>
  <si>
    <t xml:space="preserve">PIET25CS010</t>
  </si>
  <si>
    <t xml:space="preserve">ADITYA KUMAR JAIN</t>
  </si>
  <si>
    <t xml:space="preserve">PIET25CS012</t>
  </si>
  <si>
    <t xml:space="preserve">AJAY CHOUDHARY</t>
  </si>
  <si>
    <t xml:space="preserve">PIET25CS013</t>
  </si>
  <si>
    <t xml:space="preserve">AKHILESH AGNIHOTRI</t>
  </si>
  <si>
    <t xml:space="preserve">PIET25CS014</t>
  </si>
  <si>
    <t xml:space="preserve">AMIT KUMAR PANDEY</t>
  </si>
  <si>
    <t xml:space="preserve">PIET25CS015</t>
  </si>
  <si>
    <t xml:space="preserve">ANANYA GUPTA</t>
  </si>
  <si>
    <t xml:space="preserve">PIET25CS016</t>
  </si>
  <si>
    <t xml:space="preserve">ANIRUDDH SHARMA</t>
  </si>
  <si>
    <t xml:space="preserve">PIET25CS017</t>
  </si>
  <si>
    <t xml:space="preserve">ANISH SAMARIYA</t>
  </si>
  <si>
    <t xml:space="preserve">PIET25CS018</t>
  </si>
  <si>
    <t xml:space="preserve">ANISHA AGARWAL</t>
  </si>
  <si>
    <t xml:space="preserve">PIET25CS019</t>
  </si>
  <si>
    <t xml:space="preserve">ANKIT</t>
  </si>
  <si>
    <t xml:space="preserve">PIET25CS020</t>
  </si>
  <si>
    <t xml:space="preserve">ANSHUL AGARWAL</t>
  </si>
  <si>
    <t xml:space="preserve">PIET25CS021</t>
  </si>
  <si>
    <t xml:space="preserve">ANSHUL PANDEY</t>
  </si>
  <si>
    <t xml:space="preserve">PIET25CS022</t>
  </si>
  <si>
    <t xml:space="preserve">ANSHUL SHARMA</t>
  </si>
  <si>
    <t xml:space="preserve">PIET25CS023</t>
  </si>
  <si>
    <t xml:space="preserve">ANUJ KUMAR</t>
  </si>
  <si>
    <t xml:space="preserve">PIET25CS024</t>
  </si>
  <si>
    <t xml:space="preserve">ANUJ SHARMA</t>
  </si>
  <si>
    <t xml:space="preserve">PIET25CS025</t>
  </si>
  <si>
    <t xml:space="preserve">ANURAG</t>
  </si>
  <si>
    <t xml:space="preserve">PIET25CS026</t>
  </si>
  <si>
    <t xml:space="preserve">ANVESHA SRIVASTAVA</t>
  </si>
  <si>
    <t xml:space="preserve">PIET25CS027</t>
  </si>
  <si>
    <t xml:space="preserve">ARADHYA BHUSHAN THAKUR</t>
  </si>
  <si>
    <t xml:space="preserve">PIET25CS028</t>
  </si>
  <si>
    <t xml:space="preserve">ARNAV NAGAR</t>
  </si>
  <si>
    <t xml:space="preserve">PIET25CS029</t>
  </si>
  <si>
    <t xml:space="preserve">ARYAN CHOUDHARY</t>
  </si>
  <si>
    <t xml:space="preserve">PIET25CS030</t>
  </si>
  <si>
    <t xml:space="preserve">ARYAN FAGERIA</t>
  </si>
  <si>
    <t xml:space="preserve">PIET25CS035</t>
  </si>
  <si>
    <t xml:space="preserve">AYUSH POONIA</t>
  </si>
  <si>
    <t xml:space="preserve">PIET25CS036</t>
  </si>
  <si>
    <t xml:space="preserve">AYUSH SHARMA</t>
  </si>
  <si>
    <t xml:space="preserve">PIET25CS037</t>
  </si>
  <si>
    <t xml:space="preserve">BHAVIKA JAIN</t>
  </si>
  <si>
    <t xml:space="preserve">PIET25CS038</t>
  </si>
  <si>
    <t xml:space="preserve">BHAVYA JAIN</t>
  </si>
  <si>
    <t xml:space="preserve">PIET25CS039</t>
  </si>
  <si>
    <t xml:space="preserve">BHAWESH SHARMA</t>
  </si>
  <si>
    <t xml:space="preserve">PIET25CS040</t>
  </si>
  <si>
    <t xml:space="preserve">DEEPIKA KHATWANI</t>
  </si>
  <si>
    <t xml:space="preserve">PIET25CS041</t>
  </si>
  <si>
    <t xml:space="preserve">DEV DARSHAN</t>
  </si>
  <si>
    <t xml:space="preserve">PIET25CS042</t>
  </si>
  <si>
    <t xml:space="preserve">DEV DARJI</t>
  </si>
  <si>
    <t xml:space="preserve">PIET25CS043</t>
  </si>
  <si>
    <t xml:space="preserve">DEV PRATAP SINGH RATHORE</t>
  </si>
  <si>
    <t xml:space="preserve">PIET25CS045</t>
  </si>
  <si>
    <t xml:space="preserve">DEVANSHI JAIN</t>
  </si>
  <si>
    <t xml:space="preserve">PIET25CS046</t>
  </si>
  <si>
    <t xml:space="preserve">DEVANSHU SAINI</t>
  </si>
  <si>
    <t xml:space="preserve">PIET25CS047</t>
  </si>
  <si>
    <t xml:space="preserve">DHRUV KHANDELWAL</t>
  </si>
  <si>
    <t xml:space="preserve">PIET25CS048</t>
  </si>
  <si>
    <t xml:space="preserve">DHRUVIN DHUPIA</t>
  </si>
  <si>
    <t xml:space="preserve">PIET25CS049</t>
  </si>
  <si>
    <t xml:space="preserve">DIVGUN SINGH BAWEJA</t>
  </si>
  <si>
    <t xml:space="preserve">PIET25CS050</t>
  </si>
  <si>
    <t xml:space="preserve">DIVYANSH DUA</t>
  </si>
  <si>
    <t xml:space="preserve">PIET25CS051</t>
  </si>
  <si>
    <t xml:space="preserve">DRASTI JAIN</t>
  </si>
  <si>
    <t xml:space="preserve">PIET25CS052</t>
  </si>
  <si>
    <t xml:space="preserve">GAGAN GARG</t>
  </si>
  <si>
    <t xml:space="preserve">PIET25CS053</t>
  </si>
  <si>
    <t xml:space="preserve">GARGI JAIN</t>
  </si>
  <si>
    <t xml:space="preserve">PIET25CS054</t>
  </si>
  <si>
    <t xml:space="preserve">GAURI NATHAWAT</t>
  </si>
  <si>
    <t xml:space="preserve">PIET25CS055</t>
  </si>
  <si>
    <t xml:space="preserve">GHANSHAM</t>
  </si>
  <si>
    <t xml:space="preserve">PIET25CS056</t>
  </si>
  <si>
    <t xml:space="preserve">GUNJAN MANWANI</t>
  </si>
  <si>
    <t xml:space="preserve">PIET25CS058</t>
  </si>
  <si>
    <t xml:space="preserve">HARSH YADAV</t>
  </si>
  <si>
    <t xml:space="preserve">PIET25CS059</t>
  </si>
  <si>
    <t xml:space="preserve">HARSHIT GOYAL</t>
  </si>
  <si>
    <t xml:space="preserve">PIET25CS060</t>
  </si>
  <si>
    <t xml:space="preserve">HARSHIT JINDAL</t>
  </si>
  <si>
    <t xml:space="preserve">PIET25CS061</t>
  </si>
  <si>
    <t xml:space="preserve">HARSHIT SHARMA</t>
  </si>
  <si>
    <t xml:space="preserve">PIET25CS062</t>
  </si>
  <si>
    <t xml:space="preserve">HARSHITA SONI</t>
  </si>
  <si>
    <t xml:space="preserve">PIET25CS063</t>
  </si>
  <si>
    <t xml:space="preserve">HARSHVARDHAN SINGH RAJAWAT</t>
  </si>
  <si>
    <t xml:space="preserve">PIET25CS064</t>
  </si>
  <si>
    <t xml:space="preserve">HIMANSHI KHANDELWAL</t>
  </si>
  <si>
    <t xml:space="preserve">PIET25CS065</t>
  </si>
  <si>
    <t xml:space="preserve">JATIN SAINI</t>
  </si>
  <si>
    <t xml:space="preserve">PIET25CS066</t>
  </si>
  <si>
    <t xml:space="preserve">JATIN SINGH JALAL</t>
  </si>
  <si>
    <t xml:space="preserve">PIET25CS067</t>
  </si>
  <si>
    <t xml:space="preserve">JAY YOGESH TRIVEDI</t>
  </si>
  <si>
    <t xml:space="preserve">PIET25CS069</t>
  </si>
  <si>
    <t xml:space="preserve">KANAHIYA</t>
  </si>
  <si>
    <t xml:space="preserve">PIET25CS070</t>
  </si>
  <si>
    <t xml:space="preserve">KANISHKA MISHRA</t>
  </si>
  <si>
    <t xml:space="preserve">PIET25CS071</t>
  </si>
  <si>
    <t xml:space="preserve">KANUPRIYA SHARMA</t>
  </si>
  <si>
    <t xml:space="preserve">PIET25CS072</t>
  </si>
  <si>
    <t xml:space="preserve">KARTIK CHOUHAN</t>
  </si>
  <si>
    <t xml:space="preserve">PIET25CS073</t>
  </si>
  <si>
    <t xml:space="preserve">KARTIK KHURANA</t>
  </si>
  <si>
    <t xml:space="preserve">PIET25CS074</t>
  </si>
  <si>
    <t xml:space="preserve">KAVYA MITTAL</t>
  </si>
  <si>
    <t xml:space="preserve">PIET25CS075</t>
  </si>
  <si>
    <t xml:space="preserve">KESHAV SHARMA</t>
  </si>
  <si>
    <t xml:space="preserve">PIET25CS077</t>
  </si>
  <si>
    <t xml:space="preserve">KHUSH SHARMA</t>
  </si>
  <si>
    <t xml:space="preserve">PIET25CS078</t>
  </si>
  <si>
    <t xml:space="preserve">KHUSHI JHA</t>
  </si>
  <si>
    <t xml:space="preserve">PIET25CS079</t>
  </si>
  <si>
    <t xml:space="preserve">KHYATI ARORA</t>
  </si>
  <si>
    <t xml:space="preserve">PIET25CS080</t>
  </si>
  <si>
    <t xml:space="preserve">KHYATI PATHAK</t>
  </si>
  <si>
    <t xml:space="preserve">PIET25CS081</t>
  </si>
  <si>
    <t xml:space="preserve">KONARK AGARWAL</t>
  </si>
  <si>
    <t xml:space="preserve">PIET25CS082</t>
  </si>
  <si>
    <t xml:space="preserve">KRISH SHARMA</t>
  </si>
  <si>
    <t xml:space="preserve">PIET25CS083</t>
  </si>
  <si>
    <t xml:space="preserve">KRISHNA BANSAL</t>
  </si>
  <si>
    <t xml:space="preserve">PIET25CS084</t>
  </si>
  <si>
    <t xml:space="preserve">KRISHNA PAL SINGH</t>
  </si>
  <si>
    <t xml:space="preserve">PIET25CS085</t>
  </si>
  <si>
    <t xml:space="preserve">KRUNAL SUTHAR</t>
  </si>
  <si>
    <t xml:space="preserve">PIET25CS086</t>
  </si>
  <si>
    <t xml:space="preserve">KUMARESHWAR SHARAN VARSHNEY</t>
  </si>
  <si>
    <t xml:space="preserve">PIET25CS087</t>
  </si>
  <si>
    <t xml:space="preserve">LAKSHYA KUMAR</t>
  </si>
  <si>
    <t xml:space="preserve">PIET25CS088</t>
  </si>
  <si>
    <t xml:space="preserve">MAHI RAJAWAT</t>
  </si>
  <si>
    <t xml:space="preserve">PIET25CS089</t>
  </si>
  <si>
    <t xml:space="preserve">MAHIKA KHANNA</t>
  </si>
  <si>
    <t xml:space="preserve">PIET25CS090</t>
  </si>
  <si>
    <t xml:space="preserve">MANTHAN KUMAR VASHIST</t>
  </si>
  <si>
    <t xml:space="preserve">PIET25CS091</t>
  </si>
  <si>
    <t xml:space="preserve">MANU KHANDELWAL</t>
  </si>
  <si>
    <t xml:space="preserve">PIET25CS092</t>
  </si>
  <si>
    <t xml:space="preserve">MANVI SAINI</t>
  </si>
  <si>
    <t xml:space="preserve">PIET25CS093</t>
  </si>
  <si>
    <t xml:space="preserve">MILAN SHARMA</t>
  </si>
  <si>
    <t xml:space="preserve">PIET25CS094</t>
  </si>
  <si>
    <t xml:space="preserve">MOHAMMED REHAN ANSARI</t>
  </si>
  <si>
    <t xml:space="preserve">PIET25CS095</t>
  </si>
  <si>
    <t xml:space="preserve">MOHIT KESHWAR</t>
  </si>
  <si>
    <t xml:space="preserve">PIET25CS096</t>
  </si>
  <si>
    <t xml:space="preserve">MOHIT SAINI</t>
  </si>
  <si>
    <t xml:space="preserve">PIET25CS097</t>
  </si>
  <si>
    <t xml:space="preserve">MUSKAN MITTAL</t>
  </si>
  <si>
    <t xml:space="preserve">PIET25CS099</t>
  </si>
  <si>
    <t xml:space="preserve">NAMAN GUPTA</t>
  </si>
  <si>
    <t xml:space="preserve">PIET25CS100</t>
  </si>
  <si>
    <t xml:space="preserve">PIET25CS101</t>
  </si>
  <si>
    <t xml:space="preserve">NAVYA SHARMA</t>
  </si>
  <si>
    <t xml:space="preserve">PIET25CS102</t>
  </si>
  <si>
    <t xml:space="preserve">MS. NEELAM JAIN</t>
  </si>
  <si>
    <t xml:space="preserve">PIET25CS103</t>
  </si>
  <si>
    <t xml:space="preserve">NEERAJ DULANI</t>
  </si>
  <si>
    <t xml:space="preserve">PIET25CS104</t>
  </si>
  <si>
    <t xml:space="preserve">NIKHIL KUMAR</t>
  </si>
  <si>
    <t xml:space="preserve">PIET25CS105</t>
  </si>
  <si>
    <t xml:space="preserve">NIKHIL SHARMA</t>
  </si>
  <si>
    <t xml:space="preserve">PIET25CS106</t>
  </si>
  <si>
    <t xml:space="preserve">NISHA P</t>
  </si>
  <si>
    <t xml:space="preserve">PIET25CS107</t>
  </si>
  <si>
    <t xml:space="preserve">PAHAL JAIN</t>
  </si>
  <si>
    <t xml:space="preserve">PIET25CS108</t>
  </si>
  <si>
    <t xml:space="preserve">PALAK</t>
  </si>
  <si>
    <t xml:space="preserve">PIET25CS109</t>
  </si>
  <si>
    <t xml:space="preserve">PARAS ARORA</t>
  </si>
  <si>
    <t xml:space="preserve">PIET25CS110</t>
  </si>
  <si>
    <t xml:space="preserve">PARTH PANCHARIYA</t>
  </si>
  <si>
    <t xml:space="preserve">PIET25CS111</t>
  </si>
  <si>
    <t xml:space="preserve">PEEHU SHARMA</t>
  </si>
  <si>
    <t xml:space="preserve">PIET25CS112</t>
  </si>
  <si>
    <t xml:space="preserve">PRADEEP SINGH KHANGAROT</t>
  </si>
  <si>
    <t xml:space="preserve">PIET25CS113</t>
  </si>
  <si>
    <t xml:space="preserve">PRAKASH MEGHWANSHI</t>
  </si>
  <si>
    <t xml:space="preserve">PIET25CS114</t>
  </si>
  <si>
    <t xml:space="preserve">PRANJAL SHARMA</t>
  </si>
  <si>
    <t xml:space="preserve">PIET25CS115</t>
  </si>
  <si>
    <t xml:space="preserve">PRATAP SINGH HADA</t>
  </si>
  <si>
    <t xml:space="preserve">PIET25CS116</t>
  </si>
  <si>
    <t xml:space="preserve">PREM GOPLANI</t>
  </si>
  <si>
    <t xml:space="preserve">PIET25CS117</t>
  </si>
  <si>
    <t xml:space="preserve">PRERNA DIXIT</t>
  </si>
  <si>
    <t xml:space="preserve">PIET25CS119</t>
  </si>
  <si>
    <t xml:space="preserve">PRINCEPAL SINGH</t>
  </si>
  <si>
    <t xml:space="preserve">PIET25CS120</t>
  </si>
  <si>
    <t xml:space="preserve">PRITAM KUMAR</t>
  </si>
  <si>
    <t xml:space="preserve">PIET25CS121</t>
  </si>
  <si>
    <t xml:space="preserve">PRIYANI PALIWAL</t>
  </si>
  <si>
    <t xml:space="preserve">PIET25CS122</t>
  </si>
  <si>
    <t xml:space="preserve">PRIYANSH CHATURVEDI</t>
  </si>
  <si>
    <t xml:space="preserve">PIET25CS123</t>
  </si>
  <si>
    <t xml:space="preserve">PRIYANSHU</t>
  </si>
  <si>
    <t xml:space="preserve">PIET25CS124</t>
  </si>
  <si>
    <t xml:space="preserve">PRIYANSHU PAREEK</t>
  </si>
  <si>
    <t xml:space="preserve">PIET25CS125</t>
  </si>
  <si>
    <t xml:space="preserve">PULKIT JOSHI</t>
  </si>
  <si>
    <t xml:space="preserve">PIET25CS126</t>
  </si>
  <si>
    <t xml:space="preserve">PURUSHOTAM LINGWAL</t>
  </si>
  <si>
    <t xml:space="preserve">PIET25CS127</t>
  </si>
  <si>
    <t xml:space="preserve">RAGHAV SONI</t>
  </si>
  <si>
    <t xml:space="preserve">PIET25CS191</t>
  </si>
  <si>
    <t xml:space="preserve">MANISH SHARMA</t>
  </si>
  <si>
    <t xml:space="preserve">PIET25CS193</t>
  </si>
  <si>
    <t xml:space="preserve">PIET25CS128</t>
  </si>
  <si>
    <t xml:space="preserve">RAHUL JANGIR</t>
  </si>
  <si>
    <t xml:space="preserve">PIET25CS129</t>
  </si>
  <si>
    <t xml:space="preserve">RAHUL SHARMA</t>
  </si>
  <si>
    <t xml:space="preserve">PIET25CS130</t>
  </si>
  <si>
    <t xml:space="preserve">RAJEEV KUMAR GOYAL</t>
  </si>
  <si>
    <t xml:space="preserve">PIET25CS131</t>
  </si>
  <si>
    <t xml:space="preserve">RAJYAVARDHAN SINGH RATHORE</t>
  </si>
  <si>
    <t xml:space="preserve">PIET25CS132</t>
  </si>
  <si>
    <t xml:space="preserve">RAVIKANT SHARMA</t>
  </si>
  <si>
    <t xml:space="preserve">PIET25CS133</t>
  </si>
  <si>
    <t xml:space="preserve">REHAN IKRAM</t>
  </si>
  <si>
    <t xml:space="preserve">PIET25CS134</t>
  </si>
  <si>
    <t xml:space="preserve">RIDHIMA DADHICH</t>
  </si>
  <si>
    <t xml:space="preserve">PIET25CS135</t>
  </si>
  <si>
    <t xml:space="preserve">RISHABH NANDI</t>
  </si>
  <si>
    <t xml:space="preserve">PIET25CS136</t>
  </si>
  <si>
    <t xml:space="preserve">RITESH VYAS</t>
  </si>
  <si>
    <t xml:space="preserve">PIET25CS137</t>
  </si>
  <si>
    <t xml:space="preserve">RIYA JAIN</t>
  </si>
  <si>
    <t xml:space="preserve">PIET25CS138</t>
  </si>
  <si>
    <t xml:space="preserve">RIYA SUTHAR</t>
  </si>
  <si>
    <t xml:space="preserve">PIET25CS139</t>
  </si>
  <si>
    <t xml:space="preserve">ROHAN AGGARWAL</t>
  </si>
  <si>
    <t xml:space="preserve">PIET25CS140</t>
  </si>
  <si>
    <t xml:space="preserve">ROHIT</t>
  </si>
  <si>
    <t xml:space="preserve">PIET25CS141</t>
  </si>
  <si>
    <t xml:space="preserve">SAGAR SUTHAR</t>
  </si>
  <si>
    <t xml:space="preserve">PIET25CS142</t>
  </si>
  <si>
    <t xml:space="preserve">SAHIL PAREEK</t>
  </si>
  <si>
    <t xml:space="preserve">PIET25CS143</t>
  </si>
  <si>
    <t xml:space="preserve">SAKSHAM GARG</t>
  </si>
  <si>
    <t xml:space="preserve">PIET25CS144</t>
  </si>
  <si>
    <t xml:space="preserve">SAKSHI JANGIR</t>
  </si>
  <si>
    <t xml:space="preserve">PIET25CS145</t>
  </si>
  <si>
    <t xml:space="preserve">SAMAIRA SHARMA</t>
  </si>
  <si>
    <t xml:space="preserve">PIET25CS146</t>
  </si>
  <si>
    <t xml:space="preserve">SANIYA BANO</t>
  </si>
  <si>
    <t xml:space="preserve">PIET25CS147</t>
  </si>
  <si>
    <t xml:space="preserve">SANYAM KUMAR JAIN</t>
  </si>
  <si>
    <t xml:space="preserve">PIET25CS148</t>
  </si>
  <si>
    <t xml:space="preserve">SAPNA KUMARI</t>
  </si>
  <si>
    <t xml:space="preserve">PIET25CS149</t>
  </si>
  <si>
    <t xml:space="preserve">SARTHAK JAIN</t>
  </si>
  <si>
    <t xml:space="preserve">PIET25CS150</t>
  </si>
  <si>
    <t xml:space="preserve">SHEERSH BHATT</t>
  </si>
  <si>
    <t xml:space="preserve">PIET25CS151</t>
  </si>
  <si>
    <t xml:space="preserve">SHIVAM GUPTA</t>
  </si>
  <si>
    <t xml:space="preserve">PIET25CS152</t>
  </si>
  <si>
    <t xml:space="preserve">SHIVANSH JAIN</t>
  </si>
  <si>
    <t xml:space="preserve">PIET25CS153</t>
  </si>
  <si>
    <t xml:space="preserve">SHREYA SONI</t>
  </si>
  <si>
    <t xml:space="preserve">PIET25CS154</t>
  </si>
  <si>
    <t xml:space="preserve">SHREYAL SHRIMAL</t>
  </si>
  <si>
    <t xml:space="preserve">PIET25CS155</t>
  </si>
  <si>
    <t xml:space="preserve">SHUBHAM JANGID</t>
  </si>
  <si>
    <t xml:space="preserve">PIET25CS156</t>
  </si>
  <si>
    <t xml:space="preserve">SHUBHAM PANWAR</t>
  </si>
  <si>
    <t xml:space="preserve">PIET25CS157</t>
  </si>
  <si>
    <t xml:space="preserve">SHUBHAM SHARMA</t>
  </si>
  <si>
    <t xml:space="preserve">PIET25CS158</t>
  </si>
  <si>
    <t xml:space="preserve">SIDDHANT JAIN</t>
  </si>
  <si>
    <t xml:space="preserve">PIET25CS159</t>
  </si>
  <si>
    <t xml:space="preserve">SOUMAY KUMAWAT</t>
  </si>
  <si>
    <t xml:space="preserve">PIET25CS160</t>
  </si>
  <si>
    <t xml:space="preserve">SUDHANSHU JANGID</t>
  </si>
  <si>
    <t xml:space="preserve">PIET25CS161</t>
  </si>
  <si>
    <t xml:space="preserve">SUHANI KUMARI</t>
  </si>
  <si>
    <t xml:space="preserve">PIET25CS162</t>
  </si>
  <si>
    <t xml:space="preserve">SUJAL GUPTA</t>
  </si>
  <si>
    <t xml:space="preserve">PIET25CS163</t>
  </si>
  <si>
    <t xml:space="preserve">SUMIT BALODA</t>
  </si>
  <si>
    <t xml:space="preserve">PIET25CS164</t>
  </si>
  <si>
    <t xml:space="preserve">SUNNY THAKUR</t>
  </si>
  <si>
    <t xml:space="preserve">PIET25CS165</t>
  </si>
  <si>
    <t xml:space="preserve">SURUCHI PRIYA</t>
  </si>
  <si>
    <t xml:space="preserve">PIET25CS166</t>
  </si>
  <si>
    <t xml:space="preserve">SUSHIL SHARMA</t>
  </si>
  <si>
    <t xml:space="preserve">PIET25CS167</t>
  </si>
  <si>
    <t xml:space="preserve">SWATI KUMAWAT</t>
  </si>
  <si>
    <t xml:space="preserve">PIET25CS168</t>
  </si>
  <si>
    <t xml:space="preserve">TANISHA KHANDELWAL</t>
  </si>
  <si>
    <t xml:space="preserve">PIET25CS169</t>
  </si>
  <si>
    <t xml:space="preserve">TANISHK JANGID</t>
  </si>
  <si>
    <t xml:space="preserve">PIET25CS170</t>
  </si>
  <si>
    <t xml:space="preserve">MS.TANIYA KHANDELWAL</t>
  </si>
  <si>
    <t xml:space="preserve">PIET25CS171</t>
  </si>
  <si>
    <t xml:space="preserve">TANMAY KUMAR</t>
  </si>
  <si>
    <t xml:space="preserve">PIET25CS172</t>
  </si>
  <si>
    <t xml:space="preserve">TANMAY UDAIWAL</t>
  </si>
  <si>
    <t xml:space="preserve">PIET25CS173</t>
  </si>
  <si>
    <t xml:space="preserve">TANUJ SINGH</t>
  </si>
  <si>
    <t xml:space="preserve">PIET25CS174</t>
  </si>
  <si>
    <t xml:space="preserve">TANVI GUPTA</t>
  </si>
  <si>
    <t xml:space="preserve">PIET25CS175</t>
  </si>
  <si>
    <t xml:space="preserve">TUSHAR SHARMA</t>
  </si>
  <si>
    <t xml:space="preserve">PIET25CS176</t>
  </si>
  <si>
    <t xml:space="preserve">UTKARSH VIJAY</t>
  </si>
  <si>
    <t xml:space="preserve">PIET25CS177</t>
  </si>
  <si>
    <t xml:space="preserve">VIBHA JAIN</t>
  </si>
  <si>
    <t xml:space="preserve">PIET25CS178</t>
  </si>
  <si>
    <t xml:space="preserve">VIKAS BAGLA</t>
  </si>
  <si>
    <t xml:space="preserve">PIET25CS180</t>
  </si>
  <si>
    <t xml:space="preserve">VINAY GARG</t>
  </si>
  <si>
    <t xml:space="preserve">PIET25CS181</t>
  </si>
  <si>
    <t xml:space="preserve">VISHAL SHARMA</t>
  </si>
  <si>
    <t xml:space="preserve">PIET25CS182</t>
  </si>
  <si>
    <t xml:space="preserve">YACHIKA TANK</t>
  </si>
  <si>
    <t xml:space="preserve">PIET25CS183</t>
  </si>
  <si>
    <t xml:space="preserve">YADVENDRA SINGH JADOUN</t>
  </si>
  <si>
    <t xml:space="preserve">PIET25CS184</t>
  </si>
  <si>
    <t xml:space="preserve">YASH KUMAR GUPTA</t>
  </si>
  <si>
    <t xml:space="preserve">PIET25CS185</t>
  </si>
  <si>
    <t xml:space="preserve">YASH KUMAR SAHU</t>
  </si>
  <si>
    <t xml:space="preserve">PIET25CS186</t>
  </si>
  <si>
    <t xml:space="preserve">YASHVARDHAN SINGH GAUR</t>
  </si>
  <si>
    <t xml:space="preserve">PIET25CS187</t>
  </si>
  <si>
    <t xml:space="preserve">YASHWARDHAN RATHORE</t>
  </si>
  <si>
    <t xml:space="preserve">PIET25CS188</t>
  </si>
  <si>
    <t xml:space="preserve">YOGESH DHAKAD</t>
  </si>
  <si>
    <t xml:space="preserve">PIET25CS189</t>
  </si>
  <si>
    <t xml:space="preserve">YOUGANT VERMA</t>
  </si>
  <si>
    <t xml:space="preserve">PIET25CS501</t>
  </si>
  <si>
    <t xml:space="preserve">SUHANI</t>
  </si>
  <si>
    <t xml:space="preserve">PIET26CS800</t>
  </si>
  <si>
    <t xml:space="preserve">VISHAL PRAJAPAT</t>
  </si>
  <si>
    <t xml:space="preserve">PIET25CR001</t>
  </si>
  <si>
    <t xml:space="preserve">ABHIMANYU SINGH RATHOR</t>
  </si>
  <si>
    <t xml:space="preserve">PIET25CR002</t>
  </si>
  <si>
    <t xml:space="preserve">ACHINT SHARMA</t>
  </si>
  <si>
    <t xml:space="preserve">PIET25CR003</t>
  </si>
  <si>
    <t xml:space="preserve">AKSHAT SHARMA</t>
  </si>
  <si>
    <t xml:space="preserve">PIET25CR004</t>
  </si>
  <si>
    <t xml:space="preserve">ALOK SAIN</t>
  </si>
  <si>
    <t xml:space="preserve">PIET25CR005</t>
  </si>
  <si>
    <t xml:space="preserve">AMIT SHARMA</t>
  </si>
  <si>
    <t xml:space="preserve">PIET25CR006</t>
  </si>
  <si>
    <t xml:space="preserve">ANAND JAIN</t>
  </si>
  <si>
    <t xml:space="preserve">PIET25CR007</t>
  </si>
  <si>
    <t xml:space="preserve">ARPEET UPADHAYAY</t>
  </si>
  <si>
    <t xml:space="preserve">PIET25CR008</t>
  </si>
  <si>
    <t xml:space="preserve">PIET25CR009</t>
  </si>
  <si>
    <t xml:space="preserve">AYUSH SINGH</t>
  </si>
  <si>
    <t xml:space="preserve">PIET25CR010</t>
  </si>
  <si>
    <t xml:space="preserve">MS.BHUMI GUPTA</t>
  </si>
  <si>
    <t xml:space="preserve">PIET25CR011</t>
  </si>
  <si>
    <t xml:space="preserve">CHETAN SINGH CHOUHAN</t>
  </si>
  <si>
    <t xml:space="preserve">PIET25CR012</t>
  </si>
  <si>
    <t xml:space="preserve">CHHAVI JAIN</t>
  </si>
  <si>
    <t xml:space="preserve">PIET25CR013</t>
  </si>
  <si>
    <t xml:space="preserve">DEEPAK MALI</t>
  </si>
  <si>
    <t xml:space="preserve">PIET25CR014</t>
  </si>
  <si>
    <t xml:space="preserve">DEVANSH SHROTRIYA</t>
  </si>
  <si>
    <t xml:space="preserve">PIET25CR015</t>
  </si>
  <si>
    <t xml:space="preserve">DIVYA AGRAWAL</t>
  </si>
  <si>
    <t xml:space="preserve">PIET25CR016</t>
  </si>
  <si>
    <t xml:space="preserve">DRISHTI AGARWAL</t>
  </si>
  <si>
    <t xml:space="preserve">PIET25CR017</t>
  </si>
  <si>
    <t xml:space="preserve">HARSH KUMAR SHARMA</t>
  </si>
  <si>
    <t xml:space="preserve">PIET25CR018</t>
  </si>
  <si>
    <t xml:space="preserve">HARSHITA RAJPOOT</t>
  </si>
  <si>
    <t xml:space="preserve">PIET25CR019</t>
  </si>
  <si>
    <t xml:space="preserve">HEMANT VERMA</t>
  </si>
  <si>
    <t xml:space="preserve">PIET25CR021</t>
  </si>
  <si>
    <t xml:space="preserve">ISHIKA MITTAL</t>
  </si>
  <si>
    <t xml:space="preserve">PIET25CR022</t>
  </si>
  <si>
    <t xml:space="preserve">JITWAR JHA</t>
  </si>
  <si>
    <t xml:space="preserve">PIET25CR023</t>
  </si>
  <si>
    <t xml:space="preserve">KANISHK SHARMA</t>
  </si>
  <si>
    <t xml:space="preserve">PIET25CR024</t>
  </si>
  <si>
    <t xml:space="preserve">KAPIL TAMOLI</t>
  </si>
  <si>
    <t xml:space="preserve">PIET25CR025</t>
  </si>
  <si>
    <t xml:space="preserve">KARAN DHOBI</t>
  </si>
  <si>
    <t xml:space="preserve">PIET25CR026</t>
  </si>
  <si>
    <t xml:space="preserve">KARAN SINGH</t>
  </si>
  <si>
    <t xml:space="preserve">PIET25CR027</t>
  </si>
  <si>
    <t xml:space="preserve">KRISHANKANT DIXIT</t>
  </si>
  <si>
    <t xml:space="preserve">PIET25CR028</t>
  </si>
  <si>
    <t xml:space="preserve">KRISHNKANT SHARMA</t>
  </si>
  <si>
    <t xml:space="preserve">PIET25CR029</t>
  </si>
  <si>
    <t xml:space="preserve">LAKSHIKA PANDEY</t>
  </si>
  <si>
    <t xml:space="preserve">PIET25CR030</t>
  </si>
  <si>
    <t xml:space="preserve">LUCKY SAINI</t>
  </si>
  <si>
    <t xml:space="preserve">PIET25CR031</t>
  </si>
  <si>
    <t xml:space="preserve">MAHIPAL SINGH</t>
  </si>
  <si>
    <t xml:space="preserve">PIET25CR032</t>
  </si>
  <si>
    <t xml:space="preserve">PIET25CR033</t>
  </si>
  <si>
    <t xml:space="preserve">MAHAK DAYALWANI</t>
  </si>
  <si>
    <t xml:space="preserve">PIET25CR034</t>
  </si>
  <si>
    <t xml:space="preserve">MOHD DAYAN</t>
  </si>
  <si>
    <t xml:space="preserve">PIET25CR035</t>
  </si>
  <si>
    <t xml:space="preserve">MOHD. ARMAAN TAK</t>
  </si>
  <si>
    <t xml:space="preserve">PIET25CR036</t>
  </si>
  <si>
    <t xml:space="preserve">MUKUL KUMAWAT</t>
  </si>
  <si>
    <t xml:space="preserve">PIET25CR037</t>
  </si>
  <si>
    <t xml:space="preserve">NAMAN AGRAWAL</t>
  </si>
  <si>
    <t xml:space="preserve">PIET25CR038</t>
  </si>
  <si>
    <t xml:space="preserve">NANDINI JAIN</t>
  </si>
  <si>
    <t xml:space="preserve">PIET25CR040</t>
  </si>
  <si>
    <t xml:space="preserve">PALAK KHANDELWAL</t>
  </si>
  <si>
    <t xml:space="preserve">PIET25CR041</t>
  </si>
  <si>
    <t xml:space="preserve">PARTH AGARWAL</t>
  </si>
  <si>
    <t xml:space="preserve">PIET25CR043</t>
  </si>
  <si>
    <t xml:space="preserve">PIYUSH GUPTA</t>
  </si>
  <si>
    <t xml:space="preserve">PIET25CR044</t>
  </si>
  <si>
    <t xml:space="preserve">PRATYAKSH</t>
  </si>
  <si>
    <t xml:space="preserve">PIET25CR045</t>
  </si>
  <si>
    <t xml:space="preserve">PRIYAM KHANDELWAL</t>
  </si>
  <si>
    <t xml:space="preserve">PIET25CR046</t>
  </si>
  <si>
    <t xml:space="preserve">PRIYANSH TRIPATHI</t>
  </si>
  <si>
    <t xml:space="preserve">PIET25CR047</t>
  </si>
  <si>
    <t xml:space="preserve">RAHUL SANKHLA</t>
  </si>
  <si>
    <t xml:space="preserve">PIET25CR049</t>
  </si>
  <si>
    <t xml:space="preserve">SAHIL SAXENA</t>
  </si>
  <si>
    <t xml:space="preserve">PIET25CR051</t>
  </si>
  <si>
    <t xml:space="preserve">SAKSHI CHANDA</t>
  </si>
  <si>
    <t xml:space="preserve">PIET25CR052</t>
  </si>
  <si>
    <t xml:space="preserve">SAKSHI CHOUHAN</t>
  </si>
  <si>
    <t xml:space="preserve">PIET25CR053</t>
  </si>
  <si>
    <t xml:space="preserve">SARTHAK GUPTA</t>
  </si>
  <si>
    <t xml:space="preserve">PIET25CR054</t>
  </si>
  <si>
    <t xml:space="preserve">SHIVAM PRAJAPATI</t>
  </si>
  <si>
    <t xml:space="preserve">PIET25CR055</t>
  </si>
  <si>
    <t xml:space="preserve">SIDDARTH JAIN</t>
  </si>
  <si>
    <t xml:space="preserve">PIET25CR056</t>
  </si>
  <si>
    <t xml:space="preserve">SIDDHI GUPTA</t>
  </si>
  <si>
    <t xml:space="preserve">PIET25CR057</t>
  </si>
  <si>
    <t xml:space="preserve">SNEHA DARYANANI</t>
  </si>
  <si>
    <t xml:space="preserve">PIET25CR058</t>
  </si>
  <si>
    <t xml:space="preserve">SOMYA LADDHA</t>
  </si>
  <si>
    <t xml:space="preserve">PIET25CR059</t>
  </si>
  <si>
    <t xml:space="preserve">SUDHIR SHARMA</t>
  </si>
  <si>
    <t xml:space="preserve">PIET25CR060</t>
  </si>
  <si>
    <t xml:space="preserve">SWARUP JAIN</t>
  </si>
  <si>
    <t xml:space="preserve">PIET25CR061</t>
  </si>
  <si>
    <t xml:space="preserve">VANSH SHEKHAWAT</t>
  </si>
  <si>
    <t xml:space="preserve">PIET25CR062</t>
  </si>
  <si>
    <t xml:space="preserve">VISHAL KHATRI</t>
  </si>
  <si>
    <t xml:space="preserve">PIET25CR063</t>
  </si>
  <si>
    <t xml:space="preserve">YAMINI MITTAL</t>
  </si>
  <si>
    <t xml:space="preserve">PIET25CR064</t>
  </si>
  <si>
    <t xml:space="preserve">YASHNIL SHARMA</t>
  </si>
  <si>
    <t xml:space="preserve">PIET25CR065</t>
  </si>
  <si>
    <t xml:space="preserve">AKSHI MANOJ SAIN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</si>
</sst>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dd\-mmm\-yy"/>
    <numFmt numFmtId="167" formatCode="0.0%"/>
    <numFmt numFmtId="168" formatCode="General"/>
    <numFmt numFmtId="169" formatCode="0.0"/>
    <numFmt numFmtId="170" formatCode="0.0;\-0.0;\—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Times New Roman"/>
      <family val="0"/>
      <charset val="1"/>
    </font>
    <font>
      <b val="true"/>
      <sz val="12"/>
      <color rgb="FF1F3864"/>
      <name val="Times New Roman"/>
      <family val="0"/>
      <charset val="1"/>
    </font>
    <font>
      <i val="true"/>
      <sz val="9"/>
      <color rgb="FF666666"/>
      <name val="Times New Roman"/>
      <family val="0"/>
      <charset val="1"/>
    </font>
    <font>
      <b val="true"/>
      <sz val="10.5"/>
      <color rgb="FF1F3864"/>
      <name val="Times New Roman"/>
      <family val="0"/>
      <charset val="1"/>
    </font>
    <font>
      <sz val="9.5"/>
      <name val="Times New Roman"/>
      <family val="0"/>
      <charset val="1"/>
    </font>
    <font>
      <b val="true"/>
      <sz val="10"/>
      <color rgb="FF0000FF"/>
      <name val="Times New Roman"/>
      <family val="0"/>
      <charset val="1"/>
    </font>
    <font>
      <b val="true"/>
      <sz val="9.5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0"/>
      <color rgb="FF1F3864"/>
      <name val="Times New Roman"/>
      <family val="0"/>
      <charset val="1"/>
    </font>
    <font>
      <i val="true"/>
      <sz val="9.5"/>
      <color rgb="FF444444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D9E2F3"/>
        <bgColor rgb="FFC6EFCE"/>
      </patternFill>
    </fill>
    <fill>
      <patternFill patternType="solid">
        <fgColor rgb="FFFF8080"/>
        <bgColor rgb="FFFF99CC"/>
      </patternFill>
    </fill>
    <fill>
      <patternFill patternType="solid">
        <fgColor rgb="FFFFEB9C"/>
        <bgColor rgb="FFFFF2CC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8080"/>
        </patternFill>
      </fill>
    </dxf>
    <dxf>
      <font>
        <name val="Times New Roman"/>
        <charset val="1"/>
        <family val="0"/>
        <b val="1"/>
      </font>
      <fill>
        <patternFill>
          <bgColor rgb="FFFF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6" t="n">
        <v>0.75</v>
      </c>
    </row>
    <row r="7" customFormat="false" ht="1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6" t="n">
        <v>0.55</v>
      </c>
    </row>
    <row r="8" customFormat="false" ht="15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6" t="n">
        <v>0.3</v>
      </c>
    </row>
    <row r="10" customFormat="false" ht="15" hidden="false" customHeight="false" outlineLevel="0" collapsed="false">
      <c r="A10" s="4" t="s">
        <v>7</v>
      </c>
    </row>
    <row r="11" customFormat="false" ht="48" hidden="false" customHeight="true" outlineLevel="0" collapsed="false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  <c r="H11" s="7" t="s">
        <v>15</v>
      </c>
      <c r="I11" s="7" t="s">
        <v>16</v>
      </c>
      <c r="J11" s="7" t="s">
        <v>17</v>
      </c>
      <c r="K11" s="7" t="s">
        <v>18</v>
      </c>
      <c r="L11" s="7" t="s">
        <v>19</v>
      </c>
    </row>
    <row r="12" customFormat="false" ht="15" hidden="false" customHeight="false" outlineLevel="0" collapsed="false">
      <c r="A12" s="8" t="s">
        <v>20</v>
      </c>
      <c r="B12" s="9" t="n">
        <v>46300</v>
      </c>
      <c r="C12" s="8" t="n">
        <f aca="false">COUNTIF('Full Report'!$B$6:$B$256,"3CS-A")</f>
        <v>62</v>
      </c>
      <c r="D12" s="10" t="n">
        <f aca="false">AVERAGEIF('Full Report'!$B$6:$B$256,"3CS-A",'Full Report'!$I$6:$I$256)</f>
        <v>0.706451612903226</v>
      </c>
      <c r="E12" s="11" t="n">
        <f aca="false">COUNTIFS('Full Report'!$B$6:$B$256,"3CS-A",'Full Report'!$I$6:$I$256,"&gt;="&amp;Summary!$L$6)</f>
        <v>39</v>
      </c>
      <c r="F12" s="10" t="n">
        <f aca="false">IF(C12=0,"",E12/C12)</f>
        <v>0.629032258064516</v>
      </c>
      <c r="G12" s="8" t="n">
        <f aca="false">C12-E12</f>
        <v>23</v>
      </c>
      <c r="H12" s="12" t="n">
        <f aca="false">COUNTIFS('Full Report'!$B$6:$B$256,"3CS-A",'Full Report'!$I$6:$I$256,"&lt;"&amp;Summary!$L$8)</f>
        <v>5</v>
      </c>
      <c r="I12" s="8" t="n">
        <f aca="false">COUNTIFS('Full Report'!$B$6:$B$256,"3CS-A",'Full Report'!$I$6:$I$256,"&gt;="&amp;Summary!$L$7)</f>
        <v>53</v>
      </c>
      <c r="J12" s="12" t="n">
        <f aca="false">C12-I12</f>
        <v>9</v>
      </c>
      <c r="K12" s="13" t="n">
        <f aca="false">AVERAGEIF('Full Report'!$B$6:$B$256,"3CS-A",'Full Report'!$M$6:$M$256)</f>
        <v>17.5935483870968</v>
      </c>
      <c r="L12" s="8" t="n">
        <f aca="false">COUNTIFS('Full Report'!$B$6:$B$256,"3CS-A",'Full Report'!$M$6:$M$256,"&gt;=20")</f>
        <v>39</v>
      </c>
    </row>
    <row r="13" customFormat="false" ht="15" hidden="false" customHeight="false" outlineLevel="0" collapsed="false">
      <c r="A13" s="8" t="s">
        <v>21</v>
      </c>
      <c r="B13" s="9" t="n">
        <v>46300</v>
      </c>
      <c r="C13" s="8" t="n">
        <f aca="false">COUNTIF('Full Report'!$B$6:$B$256,"3CS-B")</f>
        <v>63</v>
      </c>
      <c r="D13" s="10" t="n">
        <f aca="false">AVERAGEIF('Full Report'!$B$6:$B$256,"3CS-B",'Full Report'!$I$6:$I$256)</f>
        <v>0.732063492063492</v>
      </c>
      <c r="E13" s="11" t="n">
        <f aca="false">COUNTIFS('Full Report'!$B$6:$B$256,"3CS-B",'Full Report'!$I$6:$I$256,"&gt;="&amp;Summary!$L$6)</f>
        <v>35</v>
      </c>
      <c r="F13" s="10" t="n">
        <f aca="false">IF(C13=0,"",E13/C13)</f>
        <v>0.555555555555556</v>
      </c>
      <c r="G13" s="8" t="n">
        <f aca="false">C13-E13</f>
        <v>28</v>
      </c>
      <c r="H13" s="12" t="n">
        <f aca="false">COUNTIFS('Full Report'!$B$6:$B$256,"3CS-B",'Full Report'!$I$6:$I$256,"&lt;"&amp;Summary!$L$8)</f>
        <v>2</v>
      </c>
      <c r="I13" s="8" t="n">
        <f aca="false">COUNTIFS('Full Report'!$B$6:$B$256,"3CS-B",'Full Report'!$I$6:$I$256,"&gt;="&amp;Summary!$L$7)</f>
        <v>58</v>
      </c>
      <c r="J13" s="12" t="n">
        <f aca="false">C13-I13</f>
        <v>5</v>
      </c>
      <c r="K13" s="13" t="n">
        <f aca="false">AVERAGEIF('Full Report'!$B$6:$B$256,"3CS-B",'Full Report'!$M$6:$M$256)</f>
        <v>18.5904761904762</v>
      </c>
      <c r="L13" s="8" t="n">
        <f aca="false">COUNTIFS('Full Report'!$B$6:$B$256,"3CS-B",'Full Report'!$M$6:$M$256,"&gt;=20")</f>
        <v>35</v>
      </c>
    </row>
    <row r="14" customFormat="false" ht="15" hidden="false" customHeight="false" outlineLevel="0" collapsed="false">
      <c r="A14" s="8" t="s">
        <v>22</v>
      </c>
      <c r="B14" s="9" t="n">
        <v>46300</v>
      </c>
      <c r="C14" s="8" t="n">
        <f aca="false">COUNTIF('Full Report'!$B$6:$B$256,"3CS-C")</f>
        <v>65</v>
      </c>
      <c r="D14" s="10" t="n">
        <f aca="false">AVERAGEIF('Full Report'!$B$6:$B$256,"3CS-C",'Full Report'!$I$6:$I$256)</f>
        <v>0.758</v>
      </c>
      <c r="E14" s="11" t="n">
        <f aca="false">COUNTIFS('Full Report'!$B$6:$B$256,"3CS-C",'Full Report'!$I$6:$I$256,"&gt;="&amp;Summary!$L$6)</f>
        <v>44</v>
      </c>
      <c r="F14" s="10" t="n">
        <f aca="false">IF(C14=0,"",E14/C14)</f>
        <v>0.676923076923077</v>
      </c>
      <c r="G14" s="8" t="n">
        <f aca="false">C14-E14</f>
        <v>21</v>
      </c>
      <c r="H14" s="12" t="n">
        <f aca="false">COUNTIFS('Full Report'!$B$6:$B$256,"3CS-C",'Full Report'!$I$6:$I$256,"&lt;"&amp;Summary!$L$8)</f>
        <v>2</v>
      </c>
      <c r="I14" s="8" t="n">
        <f aca="false">COUNTIFS('Full Report'!$B$6:$B$256,"3CS-C",'Full Report'!$I$6:$I$256,"&gt;="&amp;Summary!$L$7)</f>
        <v>61</v>
      </c>
      <c r="J14" s="12" t="n">
        <f aca="false">C14-I14</f>
        <v>4</v>
      </c>
      <c r="K14" s="13" t="n">
        <f aca="false">AVERAGEIF('Full Report'!$B$6:$B$256,"3CS-C",'Full Report'!$M$6:$M$256)</f>
        <v>18.8184615384615</v>
      </c>
      <c r="L14" s="8" t="n">
        <f aca="false">COUNTIFS('Full Report'!$B$6:$B$256,"3CS-C",'Full Report'!$M$6:$M$256,"&gt;=20")</f>
        <v>44</v>
      </c>
    </row>
    <row r="15" customFormat="false" ht="15" hidden="false" customHeight="false" outlineLevel="0" collapsed="false">
      <c r="A15" s="8" t="s">
        <v>23</v>
      </c>
      <c r="B15" s="9" t="n">
        <v>46301</v>
      </c>
      <c r="C15" s="8" t="n">
        <f aca="false">COUNTIF('Full Report'!$B$6:$B$256,"3CSR-D")</f>
        <v>61</v>
      </c>
      <c r="D15" s="10" t="n">
        <f aca="false">AVERAGEIF('Full Report'!$B$6:$B$256,"3CSR-D",'Full Report'!$I$6:$I$256)</f>
        <v>0.742786885245902</v>
      </c>
      <c r="E15" s="11" t="n">
        <f aca="false">COUNTIFS('Full Report'!$B$6:$B$256,"3CSR-D",'Full Report'!$I$6:$I$256,"&gt;="&amp;Summary!$L$6)</f>
        <v>37</v>
      </c>
      <c r="F15" s="10" t="n">
        <f aca="false">IF(C15=0,"",E15/C15)</f>
        <v>0.60655737704918</v>
      </c>
      <c r="G15" s="8" t="n">
        <f aca="false">C15-E15</f>
        <v>24</v>
      </c>
      <c r="H15" s="12" t="n">
        <f aca="false">COUNTIFS('Full Report'!$B$6:$B$256,"3CSR-D",'Full Report'!$I$6:$I$256,"&lt;"&amp;Summary!$L$8)</f>
        <v>1</v>
      </c>
      <c r="I15" s="8" t="n">
        <f aca="false">COUNTIFS('Full Report'!$B$6:$B$256,"3CSR-D",'Full Report'!$I$6:$I$256,"&gt;="&amp;Summary!$L$7)</f>
        <v>56</v>
      </c>
      <c r="J15" s="12" t="n">
        <f aca="false">C15-I15</f>
        <v>5</v>
      </c>
      <c r="K15" s="13" t="n">
        <f aca="false">AVERAGEIF('Full Report'!$B$6:$B$256,"3CSR-D",'Full Report'!$M$6:$M$256)</f>
        <v>18.744262295082</v>
      </c>
      <c r="L15" s="8" t="n">
        <f aca="false">COUNTIFS('Full Report'!$B$6:$B$256,"3CSR-D",'Full Report'!$M$6:$M$256,"&gt;=20")</f>
        <v>37</v>
      </c>
    </row>
    <row r="16" customFormat="false" ht="15" hidden="false" customHeight="false" outlineLevel="0" collapsed="false">
      <c r="A16" s="14" t="s">
        <v>24</v>
      </c>
      <c r="B16" s="15"/>
      <c r="C16" s="14" t="n">
        <f aca="false">SUM(C12:C15)</f>
        <v>251</v>
      </c>
      <c r="D16" s="16" t="n">
        <f aca="false">AVERAGE('Full Report'!$I$6:$I$256)</f>
        <v>0.735059760956175</v>
      </c>
      <c r="E16" s="17" t="n">
        <f aca="false">SUM(E12:E15)</f>
        <v>155</v>
      </c>
      <c r="F16" s="16" t="n">
        <f aca="false">IF(C16=0,"",E16/C16)</f>
        <v>0.617529880478088</v>
      </c>
      <c r="G16" s="14" t="n">
        <f aca="false">SUM(G12:G15)</f>
        <v>96</v>
      </c>
      <c r="H16" s="18" t="n">
        <f aca="false">SUM(H12:H15)</f>
        <v>10</v>
      </c>
      <c r="I16" s="14" t="n">
        <f aca="false">SUM(I12:I15)</f>
        <v>228</v>
      </c>
      <c r="J16" s="19" t="n">
        <f aca="false">SUM(J12:J15)</f>
        <v>23</v>
      </c>
      <c r="K16" s="20" t="n">
        <f aca="false">AVERAGE('Full Report'!$M$6:$M$256)</f>
        <v>18.4406374501992</v>
      </c>
      <c r="L16" s="14" t="n">
        <f aca="false">SUM(L12:L15)</f>
        <v>155</v>
      </c>
    </row>
    <row r="18" customFormat="false" ht="15" hidden="false" customHeight="false" outlineLevel="0" collapsed="false">
      <c r="A18" s="4" t="s">
        <v>25</v>
      </c>
    </row>
    <row r="19" customFormat="false" ht="30" hidden="false" customHeight="true" outlineLevel="0" collapsed="false">
      <c r="A19" s="7" t="s">
        <v>26</v>
      </c>
      <c r="B19" s="7" t="s">
        <v>27</v>
      </c>
      <c r="C19" s="7"/>
      <c r="D19" s="7"/>
      <c r="E19" s="7" t="s">
        <v>20</v>
      </c>
      <c r="F19" s="7" t="s">
        <v>21</v>
      </c>
      <c r="G19" s="7" t="s">
        <v>22</v>
      </c>
      <c r="H19" s="7" t="s">
        <v>23</v>
      </c>
      <c r="I19" s="7" t="s">
        <v>28</v>
      </c>
    </row>
    <row r="20" customFormat="false" ht="24" hidden="false" customHeight="true" outlineLevel="0" collapsed="false">
      <c r="A20" s="21" t="s">
        <v>29</v>
      </c>
      <c r="B20" s="22" t="s">
        <v>30</v>
      </c>
      <c r="C20" s="22"/>
      <c r="D20" s="22"/>
      <c r="E20" s="23" t="n">
        <f aca="false">COUNTIFS('Full Report'!$B$6:$B$256,"3CS-A",'Full Report'!$O$6:$O$256,"75%+ (all benefits)")</f>
        <v>39</v>
      </c>
      <c r="F20" s="23" t="n">
        <f aca="false">COUNTIFS('Full Report'!$B$6:$B$256,"3CS-B",'Full Report'!$O$6:$O$256,"75%+ (all benefits)")</f>
        <v>35</v>
      </c>
      <c r="G20" s="23" t="n">
        <f aca="false">COUNTIFS('Full Report'!$B$6:$B$256,"3CS-C",'Full Report'!$O$6:$O$256,"75%+ (all benefits)")</f>
        <v>44</v>
      </c>
      <c r="H20" s="23" t="n">
        <f aca="false">COUNTIFS('Full Report'!$B$6:$B$256,"3CSR-D",'Full Report'!$O$6:$O$256,"75%+ (all benefits)")</f>
        <v>37</v>
      </c>
      <c r="I20" s="24" t="n">
        <f aca="false">SUM(E20:H20)</f>
        <v>155</v>
      </c>
    </row>
    <row r="21" customFormat="false" ht="24" hidden="false" customHeight="true" outlineLevel="0" collapsed="false">
      <c r="A21" s="25" t="s">
        <v>31</v>
      </c>
      <c r="B21" s="22" t="s">
        <v>32</v>
      </c>
      <c r="C21" s="22"/>
      <c r="D21" s="22"/>
      <c r="E21" s="23" t="n">
        <f aca="false">COUNTIFS('Full Report'!$B$6:$B$256,"3CS-A",'Full Report'!$O$6:$O$256,"55–74%")</f>
        <v>14</v>
      </c>
      <c r="F21" s="23" t="n">
        <f aca="false">COUNTIFS('Full Report'!$B$6:$B$256,"3CS-B",'Full Report'!$O$6:$O$256,"55–74%")</f>
        <v>23</v>
      </c>
      <c r="G21" s="23" t="n">
        <f aca="false">COUNTIFS('Full Report'!$B$6:$B$256,"3CS-C",'Full Report'!$O$6:$O$256,"55–74%")</f>
        <v>17</v>
      </c>
      <c r="H21" s="23" t="n">
        <f aca="false">COUNTIFS('Full Report'!$B$6:$B$256,"3CSR-D",'Full Report'!$O$6:$O$256,"55–74%")</f>
        <v>19</v>
      </c>
      <c r="I21" s="24" t="n">
        <f aca="false">SUM(E21:H21)</f>
        <v>73</v>
      </c>
    </row>
    <row r="22" customFormat="false" ht="24" hidden="false" customHeight="true" outlineLevel="0" collapsed="false">
      <c r="A22" s="26" t="s">
        <v>33</v>
      </c>
      <c r="B22" s="22" t="s">
        <v>34</v>
      </c>
      <c r="C22" s="22"/>
      <c r="D22" s="22"/>
      <c r="E22" s="23" t="n">
        <f aca="false">COUNTIFS('Full Report'!$B$6:$B$256,"3CS-A",'Full Report'!$O$6:$O$256,"30–54%")</f>
        <v>4</v>
      </c>
      <c r="F22" s="23" t="n">
        <f aca="false">COUNTIFS('Full Report'!$B$6:$B$256,"3CS-B",'Full Report'!$O$6:$O$256,"30–54%")</f>
        <v>3</v>
      </c>
      <c r="G22" s="23" t="n">
        <f aca="false">COUNTIFS('Full Report'!$B$6:$B$256,"3CS-C",'Full Report'!$O$6:$O$256,"30–54%")</f>
        <v>2</v>
      </c>
      <c r="H22" s="23" t="n">
        <f aca="false">COUNTIFS('Full Report'!$B$6:$B$256,"3CSR-D",'Full Report'!$O$6:$O$256,"30–54%")</f>
        <v>4</v>
      </c>
      <c r="I22" s="24" t="n">
        <f aca="false">SUM(E22:H22)</f>
        <v>13</v>
      </c>
    </row>
    <row r="23" customFormat="false" ht="24" hidden="false" customHeight="true" outlineLevel="0" collapsed="false">
      <c r="A23" s="27" t="s">
        <v>35</v>
      </c>
      <c r="B23" s="22" t="s">
        <v>36</v>
      </c>
      <c r="C23" s="22"/>
      <c r="D23" s="22"/>
      <c r="E23" s="23" t="n">
        <f aca="false">COUNTIFS('Full Report'!$B$6:$B$256,"3CS-A",'Full Report'!$O$6:$O$256,"Below 30%")</f>
        <v>5</v>
      </c>
      <c r="F23" s="23" t="n">
        <f aca="false">COUNTIFS('Full Report'!$B$6:$B$256,"3CS-B",'Full Report'!$O$6:$O$256,"Below 30%")</f>
        <v>2</v>
      </c>
      <c r="G23" s="23" t="n">
        <f aca="false">COUNTIFS('Full Report'!$B$6:$B$256,"3CS-C",'Full Report'!$O$6:$O$256,"Below 30%")</f>
        <v>2</v>
      </c>
      <c r="H23" s="23" t="n">
        <f aca="false">COUNTIFS('Full Report'!$B$6:$B$256,"3CSR-D",'Full Report'!$O$6:$O$256,"Below 30%")</f>
        <v>1</v>
      </c>
      <c r="I23" s="24" t="n">
        <f aca="false">SUM(E23:H23)</f>
        <v>10</v>
      </c>
    </row>
    <row r="24" customFormat="false" ht="15" hidden="false" customHeight="false" outlineLevel="0" collapsed="false">
      <c r="A24" s="28" t="s">
        <v>28</v>
      </c>
      <c r="B24" s="28"/>
      <c r="C24" s="28"/>
      <c r="D24" s="28"/>
      <c r="E24" s="29" t="n">
        <f aca="false">SUM(E20:E23)</f>
        <v>62</v>
      </c>
      <c r="F24" s="29" t="n">
        <f aca="false">SUM(F20:F23)</f>
        <v>63</v>
      </c>
      <c r="G24" s="29" t="n">
        <f aca="false">SUM(G20:G23)</f>
        <v>65</v>
      </c>
      <c r="H24" s="29" t="n">
        <f aca="false">SUM(H20:H23)</f>
        <v>61</v>
      </c>
      <c r="I24" s="29" t="n">
        <f aca="false">SUM(I20:I23)</f>
        <v>251</v>
      </c>
    </row>
    <row r="26" customFormat="false" ht="15" hidden="false" customHeight="false" outlineLevel="0" collapsed="false">
      <c r="A26" s="4" t="s">
        <v>37</v>
      </c>
    </row>
    <row r="27" customFormat="false" ht="25.5" hidden="false" customHeight="true" outlineLevel="0" collapsed="false">
      <c r="A27" s="7" t="s">
        <v>38</v>
      </c>
      <c r="B27" s="7" t="s">
        <v>8</v>
      </c>
      <c r="C27" s="7" t="s">
        <v>39</v>
      </c>
      <c r="D27" s="7" t="s">
        <v>40</v>
      </c>
      <c r="E27" s="7"/>
      <c r="F27" s="7"/>
      <c r="G27" s="7" t="s">
        <v>41</v>
      </c>
      <c r="H27" s="7" t="s">
        <v>28</v>
      </c>
      <c r="I27" s="7" t="s">
        <v>42</v>
      </c>
      <c r="J27" s="7" t="s">
        <v>43</v>
      </c>
      <c r="K27" s="7" t="s">
        <v>44</v>
      </c>
      <c r="L27" s="7"/>
    </row>
    <row r="28" customFormat="false" ht="15" hidden="false" customHeight="false" outlineLevel="0" collapsed="false">
      <c r="A28" s="8" t="n">
        <v>1</v>
      </c>
      <c r="B28" s="8" t="s">
        <v>20</v>
      </c>
      <c r="C28" s="8" t="s">
        <v>45</v>
      </c>
      <c r="D28" s="30" t="s">
        <v>46</v>
      </c>
      <c r="E28" s="30"/>
      <c r="F28" s="30"/>
      <c r="G28" s="8" t="n">
        <f aca="false">'Full Report'!F36</f>
        <v>1</v>
      </c>
      <c r="H28" s="8" t="n">
        <f aca="false">'Full Report'!H36</f>
        <v>102</v>
      </c>
      <c r="I28" s="31" t="n">
        <f aca="false">'Full Report'!I36</f>
        <v>0.01</v>
      </c>
      <c r="J28" s="13" t="n">
        <f aca="false">'Full Report'!M36</f>
        <v>0.2</v>
      </c>
      <c r="K28" s="8" t="str">
        <f aca="false">'Full Report'!L36</f>
        <v>Not Counted</v>
      </c>
      <c r="L28" s="8"/>
    </row>
    <row r="29" customFormat="false" ht="15" hidden="false" customHeight="false" outlineLevel="0" collapsed="false">
      <c r="A29" s="8" t="n">
        <v>2</v>
      </c>
      <c r="B29" s="8" t="s">
        <v>20</v>
      </c>
      <c r="C29" s="8" t="s">
        <v>47</v>
      </c>
      <c r="D29" s="30" t="s">
        <v>48</v>
      </c>
      <c r="E29" s="30"/>
      <c r="F29" s="30"/>
      <c r="G29" s="8" t="n">
        <f aca="false">'Full Report'!F60</f>
        <v>43</v>
      </c>
      <c r="H29" s="8" t="n">
        <f aca="false">'Full Report'!H60</f>
        <v>366</v>
      </c>
      <c r="I29" s="31" t="n">
        <f aca="false">'Full Report'!I60</f>
        <v>0.12</v>
      </c>
      <c r="J29" s="13" t="n">
        <f aca="false">'Full Report'!M60</f>
        <v>3.2</v>
      </c>
      <c r="K29" s="8" t="str">
        <f aca="false">'Full Report'!L60</f>
        <v>Not Counted</v>
      </c>
      <c r="L29" s="8"/>
    </row>
    <row r="30" customFormat="false" ht="15" hidden="false" customHeight="false" outlineLevel="0" collapsed="false">
      <c r="A30" s="8" t="n">
        <v>3</v>
      </c>
      <c r="B30" s="8" t="s">
        <v>20</v>
      </c>
      <c r="C30" s="8" t="s">
        <v>49</v>
      </c>
      <c r="D30" s="30" t="s">
        <v>50</v>
      </c>
      <c r="E30" s="30"/>
      <c r="F30" s="30"/>
      <c r="G30" s="8" t="n">
        <f aca="false">'Full Report'!F37</f>
        <v>52</v>
      </c>
      <c r="H30" s="8" t="n">
        <f aca="false">'Full Report'!H37</f>
        <v>366</v>
      </c>
      <c r="I30" s="31" t="n">
        <f aca="false">'Full Report'!I37</f>
        <v>0.14</v>
      </c>
      <c r="J30" s="13" t="n">
        <f aca="false">'Full Report'!M37</f>
        <v>3.8</v>
      </c>
      <c r="K30" s="8" t="str">
        <f aca="false">'Full Report'!L37</f>
        <v>Not Counted</v>
      </c>
      <c r="L30" s="8"/>
    </row>
    <row r="31" customFormat="false" ht="15" hidden="false" customHeight="false" outlineLevel="0" collapsed="false">
      <c r="A31" s="8" t="n">
        <v>4</v>
      </c>
      <c r="B31" s="8" t="s">
        <v>20</v>
      </c>
      <c r="C31" s="8" t="s">
        <v>51</v>
      </c>
      <c r="D31" s="30" t="s">
        <v>52</v>
      </c>
      <c r="E31" s="30"/>
      <c r="F31" s="30"/>
      <c r="G31" s="8" t="n">
        <f aca="false">'Full Report'!F47</f>
        <v>53</v>
      </c>
      <c r="H31" s="8" t="n">
        <f aca="false">'Full Report'!H47</f>
        <v>366</v>
      </c>
      <c r="I31" s="31" t="n">
        <f aca="false">'Full Report'!I47</f>
        <v>0.14</v>
      </c>
      <c r="J31" s="13" t="n">
        <f aca="false">'Full Report'!M47</f>
        <v>3.8</v>
      </c>
      <c r="K31" s="8" t="str">
        <f aca="false">'Full Report'!L47</f>
        <v>Not Counted</v>
      </c>
      <c r="L31" s="8"/>
    </row>
    <row r="32" customFormat="false" ht="15" hidden="false" customHeight="false" outlineLevel="0" collapsed="false">
      <c r="A32" s="8" t="n">
        <v>5</v>
      </c>
      <c r="B32" s="8" t="s">
        <v>20</v>
      </c>
      <c r="C32" s="8" t="s">
        <v>53</v>
      </c>
      <c r="D32" s="30" t="s">
        <v>54</v>
      </c>
      <c r="E32" s="30"/>
      <c r="F32" s="30"/>
      <c r="G32" s="8" t="n">
        <f aca="false">'Full Report'!F35</f>
        <v>76</v>
      </c>
      <c r="H32" s="8" t="n">
        <f aca="false">'Full Report'!H35</f>
        <v>366</v>
      </c>
      <c r="I32" s="31" t="n">
        <f aca="false">'Full Report'!I35</f>
        <v>0.21</v>
      </c>
      <c r="J32" s="13" t="n">
        <f aca="false">'Full Report'!M35</f>
        <v>5.6</v>
      </c>
      <c r="K32" s="8" t="str">
        <f aca="false">'Full Report'!L35</f>
        <v>Not Counted</v>
      </c>
      <c r="L32" s="8"/>
    </row>
    <row r="33" customFormat="false" ht="15" hidden="false" customHeight="false" outlineLevel="0" collapsed="false">
      <c r="A33" s="8" t="n">
        <v>6</v>
      </c>
      <c r="B33" s="8" t="s">
        <v>21</v>
      </c>
      <c r="C33" s="8" t="s">
        <v>55</v>
      </c>
      <c r="D33" s="30" t="s">
        <v>56</v>
      </c>
      <c r="E33" s="30"/>
      <c r="F33" s="30"/>
      <c r="G33" s="8" t="n">
        <f aca="false">'Full Report'!F100</f>
        <v>56</v>
      </c>
      <c r="H33" s="8" t="n">
        <f aca="false">'Full Report'!H100</f>
        <v>366</v>
      </c>
      <c r="I33" s="31" t="n">
        <f aca="false">'Full Report'!I100</f>
        <v>0.15</v>
      </c>
      <c r="J33" s="13" t="n">
        <f aca="false">'Full Report'!M100</f>
        <v>4</v>
      </c>
      <c r="K33" s="8" t="str">
        <f aca="false">'Full Report'!L100</f>
        <v>Not Counted</v>
      </c>
      <c r="L33" s="8"/>
    </row>
    <row r="34" customFormat="false" ht="15" hidden="false" customHeight="false" outlineLevel="0" collapsed="false">
      <c r="A34" s="8" t="n">
        <v>7</v>
      </c>
      <c r="B34" s="8" t="s">
        <v>21</v>
      </c>
      <c r="C34" s="8" t="s">
        <v>57</v>
      </c>
      <c r="D34" s="30" t="s">
        <v>58</v>
      </c>
      <c r="E34" s="30"/>
      <c r="F34" s="30"/>
      <c r="G34" s="8" t="n">
        <f aca="false">'Full Report'!F78</f>
        <v>84</v>
      </c>
      <c r="H34" s="8" t="n">
        <f aca="false">'Full Report'!H78</f>
        <v>366</v>
      </c>
      <c r="I34" s="31" t="n">
        <f aca="false">'Full Report'!I78</f>
        <v>0.23</v>
      </c>
      <c r="J34" s="13" t="n">
        <f aca="false">'Full Report'!M78</f>
        <v>6.2</v>
      </c>
      <c r="K34" s="8" t="str">
        <f aca="false">'Full Report'!L78</f>
        <v>Not Counted</v>
      </c>
      <c r="L34" s="8"/>
    </row>
    <row r="35" customFormat="false" ht="15" hidden="false" customHeight="false" outlineLevel="0" collapsed="false">
      <c r="A35" s="8" t="n">
        <v>8</v>
      </c>
      <c r="B35" s="8" t="s">
        <v>22</v>
      </c>
      <c r="C35" s="8" t="s">
        <v>59</v>
      </c>
      <c r="D35" s="30" t="s">
        <v>60</v>
      </c>
      <c r="E35" s="30"/>
      <c r="F35" s="30"/>
      <c r="G35" s="8" t="n">
        <f aca="false">'Full Report'!F193</f>
        <v>19</v>
      </c>
      <c r="H35" s="8" t="n">
        <f aca="false">'Full Report'!H193</f>
        <v>366</v>
      </c>
      <c r="I35" s="31" t="n">
        <f aca="false">'Full Report'!I193</f>
        <v>0.05</v>
      </c>
      <c r="J35" s="13" t="n">
        <f aca="false">'Full Report'!M193</f>
        <v>1.4</v>
      </c>
      <c r="K35" s="8" t="str">
        <f aca="false">'Full Report'!L193</f>
        <v>Not Counted</v>
      </c>
      <c r="L35" s="8"/>
    </row>
    <row r="36" customFormat="false" ht="15" hidden="false" customHeight="false" outlineLevel="0" collapsed="false">
      <c r="A36" s="8" t="n">
        <v>9</v>
      </c>
      <c r="B36" s="8" t="s">
        <v>22</v>
      </c>
      <c r="C36" s="8" t="s">
        <v>61</v>
      </c>
      <c r="D36" s="30" t="s">
        <v>62</v>
      </c>
      <c r="E36" s="30"/>
      <c r="F36" s="30"/>
      <c r="G36" s="8" t="n">
        <f aca="false">'Full Report'!F192</f>
        <v>26</v>
      </c>
      <c r="H36" s="8" t="n">
        <f aca="false">'Full Report'!H192</f>
        <v>366</v>
      </c>
      <c r="I36" s="31" t="n">
        <f aca="false">'Full Report'!I192</f>
        <v>0.07</v>
      </c>
      <c r="J36" s="13" t="n">
        <f aca="false">'Full Report'!M192</f>
        <v>1.8</v>
      </c>
      <c r="K36" s="8" t="str">
        <f aca="false">'Full Report'!L192</f>
        <v>Not Counted</v>
      </c>
      <c r="L36" s="8"/>
    </row>
    <row r="37" customFormat="false" ht="15" hidden="false" customHeight="false" outlineLevel="0" collapsed="false">
      <c r="A37" s="8" t="n">
        <v>10</v>
      </c>
      <c r="B37" s="8" t="s">
        <v>23</v>
      </c>
      <c r="C37" s="8" t="s">
        <v>63</v>
      </c>
      <c r="D37" s="30" t="s">
        <v>64</v>
      </c>
      <c r="E37" s="30"/>
      <c r="F37" s="30"/>
      <c r="G37" s="8" t="n">
        <f aca="false">'Full Report'!F241</f>
        <v>62</v>
      </c>
      <c r="H37" s="8" t="n">
        <f aca="false">'Full Report'!H241</f>
        <v>372</v>
      </c>
      <c r="I37" s="31" t="n">
        <f aca="false">'Full Report'!I241</f>
        <v>0.17</v>
      </c>
      <c r="J37" s="13" t="n">
        <f aca="false">'Full Report'!M241</f>
        <v>4.6</v>
      </c>
      <c r="K37" s="8" t="str">
        <f aca="false">'Full Report'!L241</f>
        <v>Not Counted</v>
      </c>
      <c r="L37" s="8"/>
    </row>
    <row r="39" customFormat="false" ht="15.75" hidden="false" customHeight="true" outlineLevel="0" collapsed="false">
      <c r="A39" s="32" t="s">
        <v>65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</row>
    <row r="40" customFormat="false" ht="24" hidden="false" customHeight="true" outlineLevel="0" collapsed="false">
      <c r="A40" s="33" t="s">
        <v>66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customFormat="false" ht="24" hidden="false" customHeight="true" outlineLevel="0" collapsed="false">
      <c r="A41" s="33" t="s">
        <v>67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customFormat="false" ht="24" hidden="false" customHeight="true" outlineLevel="0" collapsed="false">
      <c r="A42" s="33" t="s">
        <v>68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customFormat="false" ht="24" hidden="false" customHeight="true" outlineLevel="0" collapsed="false">
      <c r="A43" s="33" t="s">
        <v>69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</sheetData>
  <mergeCells count="39">
    <mergeCell ref="A1:L1"/>
    <mergeCell ref="A2:L2"/>
    <mergeCell ref="A3:L3"/>
    <mergeCell ref="A6:K6"/>
    <mergeCell ref="A7:K7"/>
    <mergeCell ref="A8:K8"/>
    <mergeCell ref="B19:D19"/>
    <mergeCell ref="B20:D20"/>
    <mergeCell ref="B21:D21"/>
    <mergeCell ref="B22:D22"/>
    <mergeCell ref="B23:D23"/>
    <mergeCell ref="A24:D24"/>
    <mergeCell ref="D27:F27"/>
    <mergeCell ref="K27:L27"/>
    <mergeCell ref="D28:F28"/>
    <mergeCell ref="K28:L28"/>
    <mergeCell ref="D29:F29"/>
    <mergeCell ref="K29:L29"/>
    <mergeCell ref="D30:F30"/>
    <mergeCell ref="K30:L30"/>
    <mergeCell ref="D31:F31"/>
    <mergeCell ref="K31:L31"/>
    <mergeCell ref="D32:F32"/>
    <mergeCell ref="K32:L32"/>
    <mergeCell ref="D33:F33"/>
    <mergeCell ref="K33:L33"/>
    <mergeCell ref="D34:F34"/>
    <mergeCell ref="K34:L34"/>
    <mergeCell ref="D35:F35"/>
    <mergeCell ref="K35:L35"/>
    <mergeCell ref="D36:F36"/>
    <mergeCell ref="K36:L36"/>
    <mergeCell ref="D37:F37"/>
    <mergeCell ref="K37:L37"/>
    <mergeCell ref="A39:L39"/>
    <mergeCell ref="A40:L40"/>
    <mergeCell ref="A41:L41"/>
    <mergeCell ref="A42:L42"/>
    <mergeCell ref="A43:L4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8" min="6" style="0" width="8"/>
    <col collapsed="false" customWidth="true" hidden="false" outlineLevel="0" max="11" min="9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7"/>
  </cols>
  <sheetData>
    <row r="1" customFormat="false" ht="16.1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7.75" hidden="false" customHeight="true" outlineLevel="0" collapsed="false">
      <c r="A3" s="3" t="s">
        <v>72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48" hidden="false" customHeight="true" outlineLevel="0" collapsed="false">
      <c r="A5" s="7" t="s">
        <v>38</v>
      </c>
      <c r="B5" s="7" t="s">
        <v>8</v>
      </c>
      <c r="C5" s="7" t="s">
        <v>39</v>
      </c>
      <c r="D5" s="7" t="s">
        <v>40</v>
      </c>
      <c r="E5" s="7" t="s">
        <v>9</v>
      </c>
      <c r="F5" s="7" t="s">
        <v>41</v>
      </c>
      <c r="G5" s="7" t="s">
        <v>73</v>
      </c>
      <c r="H5" s="7" t="s">
        <v>74</v>
      </c>
      <c r="I5" s="7" t="s">
        <v>75</v>
      </c>
      <c r="J5" s="7" t="s">
        <v>76</v>
      </c>
      <c r="K5" s="7" t="s">
        <v>15</v>
      </c>
      <c r="L5" s="7" t="s">
        <v>77</v>
      </c>
      <c r="M5" s="7" t="s">
        <v>78</v>
      </c>
      <c r="N5" s="7" t="s">
        <v>79</v>
      </c>
      <c r="O5" s="7" t="s">
        <v>80</v>
      </c>
    </row>
    <row r="6" customFormat="false" ht="15" hidden="false" customHeight="false" outlineLevel="0" collapsed="false">
      <c r="A6" s="8" t="n">
        <v>1</v>
      </c>
      <c r="B6" s="8" t="s">
        <v>20</v>
      </c>
      <c r="C6" s="8" t="s">
        <v>81</v>
      </c>
      <c r="D6" s="30" t="s">
        <v>82</v>
      </c>
      <c r="E6" s="9" t="n">
        <v>46300</v>
      </c>
      <c r="F6" s="8" t="n">
        <v>287</v>
      </c>
      <c r="G6" s="8" t="n">
        <v>79</v>
      </c>
      <c r="H6" s="8" t="n">
        <v>366</v>
      </c>
      <c r="I6" s="34" t="n">
        <f aca="false">ROUND(F6/H6*100,0)/100</f>
        <v>0.78</v>
      </c>
      <c r="J6" s="8" t="str">
        <f aca="false">IF(I6&gt;=Summary!$L$6,"Eligible","Shortage")</f>
        <v>Eligible</v>
      </c>
      <c r="K6" s="8" t="str">
        <f aca="false">IF(I6&lt;Summary!$L$8,"YES","No")</f>
        <v>No</v>
      </c>
      <c r="L6" s="8" t="str">
        <f aca="false">IF(I6&gt;=Summary!$L$7,"Counted","Not Counted")</f>
        <v>Counted</v>
      </c>
      <c r="M6" s="13" t="n">
        <f aca="false">IF(I6&gt;=Summary!$L$6,20,ROUND(I6/Summary!$L$6*10,1)*2)</f>
        <v>20</v>
      </c>
      <c r="N6" s="35" t="n">
        <f aca="false">20-M6</f>
        <v>0</v>
      </c>
      <c r="O6" s="8" t="str">
        <f aca="false">IF(I6&gt;=Summary!$L$6,"75%+ (all benefits)",IF(I6&gt;=Summary!$L$7,"55–74%",IF(I6&gt;=Summary!$L$8,"30–54%","Below 30%")))</f>
        <v>75%+ (all benefits)</v>
      </c>
    </row>
    <row r="7" customFormat="false" ht="15" hidden="false" customHeight="false" outlineLevel="0" collapsed="false">
      <c r="A7" s="36" t="n">
        <v>2</v>
      </c>
      <c r="B7" s="36" t="s">
        <v>20</v>
      </c>
      <c r="C7" s="36" t="s">
        <v>83</v>
      </c>
      <c r="D7" s="37" t="s">
        <v>84</v>
      </c>
      <c r="E7" s="38" t="n">
        <v>46300</v>
      </c>
      <c r="F7" s="36" t="n">
        <v>282</v>
      </c>
      <c r="G7" s="36" t="n">
        <v>84</v>
      </c>
      <c r="H7" s="36" t="n">
        <v>366</v>
      </c>
      <c r="I7" s="34" t="n">
        <f aca="false">ROUND(F7/H7*100,0)/100</f>
        <v>0.77</v>
      </c>
      <c r="J7" s="8" t="str">
        <f aca="false">IF(I7&gt;=Summary!$L$6,"Eligible","Shortage")</f>
        <v>Eligible</v>
      </c>
      <c r="K7" s="8" t="str">
        <f aca="false">IF(I7&lt;Summary!$L$8,"YES","No")</f>
        <v>No</v>
      </c>
      <c r="L7" s="8" t="str">
        <f aca="false">IF(I7&gt;=Summary!$L$7,"Counted","Not Counted")</f>
        <v>Counted</v>
      </c>
      <c r="M7" s="13" t="n">
        <f aca="false">IF(I7&gt;=Summary!$L$6,20,ROUND(I7/Summary!$L$6*10,1)*2)</f>
        <v>20</v>
      </c>
      <c r="N7" s="35" t="n">
        <f aca="false">20-M7</f>
        <v>0</v>
      </c>
      <c r="O7" s="8" t="str">
        <f aca="false">IF(I7&gt;=Summary!$L$6,"75%+ (all benefits)",IF(I7&gt;=Summary!$L$7,"55–74%",IF(I7&gt;=Summary!$L$8,"30–54%","Below 30%")))</f>
        <v>75%+ (all benefits)</v>
      </c>
    </row>
    <row r="8" customFormat="false" ht="15" hidden="false" customHeight="false" outlineLevel="0" collapsed="false">
      <c r="A8" s="8" t="n">
        <v>3</v>
      </c>
      <c r="B8" s="8" t="s">
        <v>20</v>
      </c>
      <c r="C8" s="8" t="s">
        <v>85</v>
      </c>
      <c r="D8" s="30" t="s">
        <v>86</v>
      </c>
      <c r="E8" s="9" t="n">
        <v>46300</v>
      </c>
      <c r="F8" s="8" t="n">
        <v>253</v>
      </c>
      <c r="G8" s="8" t="n">
        <v>113</v>
      </c>
      <c r="H8" s="8" t="n">
        <v>366</v>
      </c>
      <c r="I8" s="34" t="n">
        <f aca="false">ROUND(F8/H8*100,0)/100</f>
        <v>0.69</v>
      </c>
      <c r="J8" s="8" t="str">
        <f aca="false">IF(I8&gt;=Summary!$L$6,"Eligible","Shortage")</f>
        <v>Shortage</v>
      </c>
      <c r="K8" s="8" t="str">
        <f aca="false">IF(I8&lt;Summary!$L$8,"YES","No")</f>
        <v>No</v>
      </c>
      <c r="L8" s="8" t="str">
        <f aca="false">IF(I8&gt;=Summary!$L$7,"Counted","Not Counted")</f>
        <v>Counted</v>
      </c>
      <c r="M8" s="13" t="n">
        <f aca="false">IF(I8&gt;=Summary!$L$6,20,ROUND(I8/Summary!$L$6*10,1)*2)</f>
        <v>18.4</v>
      </c>
      <c r="N8" s="35" t="n">
        <f aca="false">20-M8</f>
        <v>1.6</v>
      </c>
      <c r="O8" s="8" t="str">
        <f aca="false">IF(I8&gt;=Summary!$L$6,"75%+ (all benefits)",IF(I8&gt;=Summary!$L$7,"55–74%",IF(I8&gt;=Summary!$L$8,"30–54%","Below 30%")))</f>
        <v>55–74%</v>
      </c>
    </row>
    <row r="9" customFormat="false" ht="15" hidden="false" customHeight="false" outlineLevel="0" collapsed="false">
      <c r="A9" s="36" t="n">
        <v>4</v>
      </c>
      <c r="B9" s="36" t="s">
        <v>20</v>
      </c>
      <c r="C9" s="36" t="s">
        <v>87</v>
      </c>
      <c r="D9" s="37" t="s">
        <v>88</v>
      </c>
      <c r="E9" s="38" t="n">
        <v>46300</v>
      </c>
      <c r="F9" s="36" t="n">
        <v>297</v>
      </c>
      <c r="G9" s="36" t="n">
        <v>69</v>
      </c>
      <c r="H9" s="36" t="n">
        <v>366</v>
      </c>
      <c r="I9" s="34" t="n">
        <f aca="false">ROUND(F9/H9*100,0)/100</f>
        <v>0.81</v>
      </c>
      <c r="J9" s="8" t="str">
        <f aca="false">IF(I9&gt;=Summary!$L$6,"Eligible","Shortage")</f>
        <v>Eligible</v>
      </c>
      <c r="K9" s="8" t="str">
        <f aca="false">IF(I9&lt;Summary!$L$8,"YES","No")</f>
        <v>No</v>
      </c>
      <c r="L9" s="8" t="str">
        <f aca="false">IF(I9&gt;=Summary!$L$7,"Counted","Not Counted")</f>
        <v>Counted</v>
      </c>
      <c r="M9" s="13" t="n">
        <f aca="false">IF(I9&gt;=Summary!$L$6,20,ROUND(I9/Summary!$L$6*10,1)*2)</f>
        <v>20</v>
      </c>
      <c r="N9" s="35" t="n">
        <f aca="false">20-M9</f>
        <v>0</v>
      </c>
      <c r="O9" s="8" t="str">
        <f aca="false">IF(I9&gt;=Summary!$L$6,"75%+ (all benefits)",IF(I9&gt;=Summary!$L$7,"55–74%",IF(I9&gt;=Summary!$L$8,"30–54%","Below 30%")))</f>
        <v>75%+ (all benefits)</v>
      </c>
    </row>
    <row r="10" customFormat="false" ht="15" hidden="false" customHeight="false" outlineLevel="0" collapsed="false">
      <c r="A10" s="8" t="n">
        <v>5</v>
      </c>
      <c r="B10" s="8" t="s">
        <v>20</v>
      </c>
      <c r="C10" s="8" t="s">
        <v>89</v>
      </c>
      <c r="D10" s="30" t="s">
        <v>90</v>
      </c>
      <c r="E10" s="9" t="n">
        <v>46300</v>
      </c>
      <c r="F10" s="8" t="n">
        <v>295</v>
      </c>
      <c r="G10" s="8" t="n">
        <v>71</v>
      </c>
      <c r="H10" s="8" t="n">
        <v>366</v>
      </c>
      <c r="I10" s="34" t="n">
        <f aca="false">ROUND(F10/H10*100,0)/100</f>
        <v>0.81</v>
      </c>
      <c r="J10" s="8" t="str">
        <f aca="false">IF(I10&gt;=Summary!$L$6,"Eligible","Shortage")</f>
        <v>Eligible</v>
      </c>
      <c r="K10" s="8" t="str">
        <f aca="false">IF(I10&lt;Summary!$L$8,"YES","No")</f>
        <v>No</v>
      </c>
      <c r="L10" s="8" t="str">
        <f aca="false">IF(I10&gt;=Summary!$L$7,"Counted","Not Counted")</f>
        <v>Counted</v>
      </c>
      <c r="M10" s="13" t="n">
        <f aca="false">IF(I10&gt;=Summary!$L$6,20,ROUND(I10/Summary!$L$6*10,1)*2)</f>
        <v>20</v>
      </c>
      <c r="N10" s="35" t="n">
        <f aca="false">20-M10</f>
        <v>0</v>
      </c>
      <c r="O10" s="8" t="str">
        <f aca="false">IF(I10&gt;=Summary!$L$6,"75%+ (all benefits)",IF(I10&gt;=Summary!$L$7,"55–74%",IF(I10&gt;=Summary!$L$8,"30–54%","Below 30%")))</f>
        <v>75%+ (all benefits)</v>
      </c>
    </row>
    <row r="11" customFormat="false" ht="15" hidden="false" customHeight="false" outlineLevel="0" collapsed="false">
      <c r="A11" s="36" t="n">
        <v>6</v>
      </c>
      <c r="B11" s="36" t="s">
        <v>20</v>
      </c>
      <c r="C11" s="36" t="s">
        <v>91</v>
      </c>
      <c r="D11" s="37" t="s">
        <v>92</v>
      </c>
      <c r="E11" s="38" t="n">
        <v>46300</v>
      </c>
      <c r="F11" s="36" t="n">
        <v>305</v>
      </c>
      <c r="G11" s="36" t="n">
        <v>61</v>
      </c>
      <c r="H11" s="36" t="n">
        <v>366</v>
      </c>
      <c r="I11" s="34" t="n">
        <f aca="false">ROUND(F11/H11*100,0)/100</f>
        <v>0.83</v>
      </c>
      <c r="J11" s="8" t="str">
        <f aca="false">IF(I11&gt;=Summary!$L$6,"Eligible","Shortage")</f>
        <v>Eligible</v>
      </c>
      <c r="K11" s="8" t="str">
        <f aca="false">IF(I11&lt;Summary!$L$8,"YES","No")</f>
        <v>No</v>
      </c>
      <c r="L11" s="8" t="str">
        <f aca="false">IF(I11&gt;=Summary!$L$7,"Counted","Not Counted")</f>
        <v>Counted</v>
      </c>
      <c r="M11" s="13" t="n">
        <f aca="false">IF(I11&gt;=Summary!$L$6,20,ROUND(I11/Summary!$L$6*10,1)*2)</f>
        <v>20</v>
      </c>
      <c r="N11" s="35" t="n">
        <f aca="false">20-M11</f>
        <v>0</v>
      </c>
      <c r="O11" s="8" t="str">
        <f aca="false">IF(I11&gt;=Summary!$L$6,"75%+ (all benefits)",IF(I11&gt;=Summary!$L$7,"55–74%",IF(I11&gt;=Summary!$L$8,"30–54%","Below 30%")))</f>
        <v>75%+ (all benefits)</v>
      </c>
    </row>
    <row r="12" customFormat="false" ht="15" hidden="false" customHeight="false" outlineLevel="0" collapsed="false">
      <c r="A12" s="8" t="n">
        <v>7</v>
      </c>
      <c r="B12" s="8" t="s">
        <v>20</v>
      </c>
      <c r="C12" s="8" t="s">
        <v>93</v>
      </c>
      <c r="D12" s="30" t="s">
        <v>94</v>
      </c>
      <c r="E12" s="9" t="n">
        <v>46300</v>
      </c>
      <c r="F12" s="8" t="n">
        <v>293</v>
      </c>
      <c r="G12" s="8" t="n">
        <v>73</v>
      </c>
      <c r="H12" s="8" t="n">
        <v>366</v>
      </c>
      <c r="I12" s="34" t="n">
        <f aca="false">ROUND(F12/H12*100,0)/100</f>
        <v>0.8</v>
      </c>
      <c r="J12" s="8" t="str">
        <f aca="false">IF(I12&gt;=Summary!$L$6,"Eligible","Shortage")</f>
        <v>Eligible</v>
      </c>
      <c r="K12" s="8" t="str">
        <f aca="false">IF(I12&lt;Summary!$L$8,"YES","No")</f>
        <v>No</v>
      </c>
      <c r="L12" s="8" t="str">
        <f aca="false">IF(I12&gt;=Summary!$L$7,"Counted","Not Counted")</f>
        <v>Counted</v>
      </c>
      <c r="M12" s="13" t="n">
        <f aca="false">IF(I12&gt;=Summary!$L$6,20,ROUND(I12/Summary!$L$6*10,1)*2)</f>
        <v>20</v>
      </c>
      <c r="N12" s="35" t="n">
        <f aca="false">20-M12</f>
        <v>0</v>
      </c>
      <c r="O12" s="8" t="str">
        <f aca="false">IF(I12&gt;=Summary!$L$6,"75%+ (all benefits)",IF(I12&gt;=Summary!$L$7,"55–74%",IF(I12&gt;=Summary!$L$8,"30–54%","Below 30%")))</f>
        <v>75%+ (all benefits)</v>
      </c>
    </row>
    <row r="13" customFormat="false" ht="15" hidden="false" customHeight="false" outlineLevel="0" collapsed="false">
      <c r="A13" s="36" t="n">
        <v>8</v>
      </c>
      <c r="B13" s="36" t="s">
        <v>20</v>
      </c>
      <c r="C13" s="36" t="s">
        <v>95</v>
      </c>
      <c r="D13" s="37" t="s">
        <v>96</v>
      </c>
      <c r="E13" s="38" t="n">
        <v>46300</v>
      </c>
      <c r="F13" s="36" t="n">
        <v>284</v>
      </c>
      <c r="G13" s="36" t="n">
        <v>82</v>
      </c>
      <c r="H13" s="36" t="n">
        <v>366</v>
      </c>
      <c r="I13" s="34" t="n">
        <f aca="false">ROUND(F13/H13*100,0)/100</f>
        <v>0.78</v>
      </c>
      <c r="J13" s="8" t="str">
        <f aca="false">IF(I13&gt;=Summary!$L$6,"Eligible","Shortage")</f>
        <v>Eligible</v>
      </c>
      <c r="K13" s="8" t="str">
        <f aca="false">IF(I13&lt;Summary!$L$8,"YES","No")</f>
        <v>No</v>
      </c>
      <c r="L13" s="8" t="str">
        <f aca="false">IF(I13&gt;=Summary!$L$7,"Counted","Not Counted")</f>
        <v>Counted</v>
      </c>
      <c r="M13" s="13" t="n">
        <f aca="false">IF(I13&gt;=Summary!$L$6,20,ROUND(I13/Summary!$L$6*10,1)*2)</f>
        <v>20</v>
      </c>
      <c r="N13" s="35" t="n">
        <f aca="false">20-M13</f>
        <v>0</v>
      </c>
      <c r="O13" s="8" t="str">
        <f aca="false">IF(I13&gt;=Summary!$L$6,"75%+ (all benefits)",IF(I13&gt;=Summary!$L$7,"55–74%",IF(I13&gt;=Summary!$L$8,"30–54%","Below 30%")))</f>
        <v>75%+ (all benefits)</v>
      </c>
    </row>
    <row r="14" customFormat="false" ht="15" hidden="false" customHeight="false" outlineLevel="0" collapsed="false">
      <c r="A14" s="8" t="n">
        <v>9</v>
      </c>
      <c r="B14" s="8" t="s">
        <v>20</v>
      </c>
      <c r="C14" s="8" t="s">
        <v>97</v>
      </c>
      <c r="D14" s="30" t="s">
        <v>98</v>
      </c>
      <c r="E14" s="9" t="n">
        <v>46300</v>
      </c>
      <c r="F14" s="8" t="n">
        <v>254</v>
      </c>
      <c r="G14" s="8" t="n">
        <v>112</v>
      </c>
      <c r="H14" s="8" t="n">
        <v>366</v>
      </c>
      <c r="I14" s="34" t="n">
        <f aca="false">ROUND(F14/H14*100,0)/100</f>
        <v>0.69</v>
      </c>
      <c r="J14" s="8" t="str">
        <f aca="false">IF(I14&gt;=Summary!$L$6,"Eligible","Shortage")</f>
        <v>Shortage</v>
      </c>
      <c r="K14" s="8" t="str">
        <f aca="false">IF(I14&lt;Summary!$L$8,"YES","No")</f>
        <v>No</v>
      </c>
      <c r="L14" s="8" t="str">
        <f aca="false">IF(I14&gt;=Summary!$L$7,"Counted","Not Counted")</f>
        <v>Counted</v>
      </c>
      <c r="M14" s="13" t="n">
        <f aca="false">IF(I14&gt;=Summary!$L$6,20,ROUND(I14/Summary!$L$6*10,1)*2)</f>
        <v>18.4</v>
      </c>
      <c r="N14" s="35" t="n">
        <f aca="false">20-M14</f>
        <v>1.6</v>
      </c>
      <c r="O14" s="8" t="str">
        <f aca="false">IF(I14&gt;=Summary!$L$6,"75%+ (all benefits)",IF(I14&gt;=Summary!$L$7,"55–74%",IF(I14&gt;=Summary!$L$8,"30–54%","Below 30%")))</f>
        <v>55–74%</v>
      </c>
    </row>
    <row r="15" customFormat="false" ht="15" hidden="false" customHeight="false" outlineLevel="0" collapsed="false">
      <c r="A15" s="36" t="n">
        <v>10</v>
      </c>
      <c r="B15" s="36" t="s">
        <v>20</v>
      </c>
      <c r="C15" s="36" t="s">
        <v>99</v>
      </c>
      <c r="D15" s="37" t="s">
        <v>100</v>
      </c>
      <c r="E15" s="38" t="n">
        <v>46300</v>
      </c>
      <c r="F15" s="36" t="n">
        <v>302</v>
      </c>
      <c r="G15" s="36" t="n">
        <v>64</v>
      </c>
      <c r="H15" s="36" t="n">
        <v>366</v>
      </c>
      <c r="I15" s="34" t="n">
        <f aca="false">ROUND(F15/H15*100,0)/100</f>
        <v>0.83</v>
      </c>
      <c r="J15" s="8" t="str">
        <f aca="false">IF(I15&gt;=Summary!$L$6,"Eligible","Shortage")</f>
        <v>Eligible</v>
      </c>
      <c r="K15" s="8" t="str">
        <f aca="false">IF(I15&lt;Summary!$L$8,"YES","No")</f>
        <v>No</v>
      </c>
      <c r="L15" s="8" t="str">
        <f aca="false">IF(I15&gt;=Summary!$L$7,"Counted","Not Counted")</f>
        <v>Counted</v>
      </c>
      <c r="M15" s="13" t="n">
        <f aca="false">IF(I15&gt;=Summary!$L$6,20,ROUND(I15/Summary!$L$6*10,1)*2)</f>
        <v>20</v>
      </c>
      <c r="N15" s="35" t="n">
        <f aca="false">20-M15</f>
        <v>0</v>
      </c>
      <c r="O15" s="8" t="str">
        <f aca="false">IF(I15&gt;=Summary!$L$6,"75%+ (all benefits)",IF(I15&gt;=Summary!$L$7,"55–74%",IF(I15&gt;=Summary!$L$8,"30–54%","Below 30%")))</f>
        <v>75%+ (all benefits)</v>
      </c>
    </row>
    <row r="16" customFormat="false" ht="15" hidden="false" customHeight="false" outlineLevel="0" collapsed="false">
      <c r="A16" s="8" t="n">
        <v>11</v>
      </c>
      <c r="B16" s="8" t="s">
        <v>20</v>
      </c>
      <c r="C16" s="8" t="s">
        <v>101</v>
      </c>
      <c r="D16" s="30" t="s">
        <v>102</v>
      </c>
      <c r="E16" s="9" t="n">
        <v>46300</v>
      </c>
      <c r="F16" s="8" t="n">
        <v>279</v>
      </c>
      <c r="G16" s="8" t="n">
        <v>87</v>
      </c>
      <c r="H16" s="8" t="n">
        <v>366</v>
      </c>
      <c r="I16" s="34" t="n">
        <f aca="false">ROUND(F16/H16*100,0)/100</f>
        <v>0.76</v>
      </c>
      <c r="J16" s="8" t="str">
        <f aca="false">IF(I16&gt;=Summary!$L$6,"Eligible","Shortage")</f>
        <v>Eligible</v>
      </c>
      <c r="K16" s="8" t="str">
        <f aca="false">IF(I16&lt;Summary!$L$8,"YES","No")</f>
        <v>No</v>
      </c>
      <c r="L16" s="8" t="str">
        <f aca="false">IF(I16&gt;=Summary!$L$7,"Counted","Not Counted")</f>
        <v>Counted</v>
      </c>
      <c r="M16" s="13" t="n">
        <f aca="false">IF(I16&gt;=Summary!$L$6,20,ROUND(I16/Summary!$L$6*10,1)*2)</f>
        <v>20</v>
      </c>
      <c r="N16" s="35" t="n">
        <f aca="false">20-M16</f>
        <v>0</v>
      </c>
      <c r="O16" s="8" t="str">
        <f aca="false">IF(I16&gt;=Summary!$L$6,"75%+ (all benefits)",IF(I16&gt;=Summary!$L$7,"55–74%",IF(I16&gt;=Summary!$L$8,"30–54%","Below 30%")))</f>
        <v>75%+ (all benefits)</v>
      </c>
    </row>
    <row r="17" customFormat="false" ht="15" hidden="false" customHeight="false" outlineLevel="0" collapsed="false">
      <c r="A17" s="36" t="n">
        <v>12</v>
      </c>
      <c r="B17" s="36" t="s">
        <v>20</v>
      </c>
      <c r="C17" s="36" t="s">
        <v>103</v>
      </c>
      <c r="D17" s="37" t="s">
        <v>104</v>
      </c>
      <c r="E17" s="38" t="n">
        <v>46300</v>
      </c>
      <c r="F17" s="36" t="n">
        <v>184</v>
      </c>
      <c r="G17" s="36" t="n">
        <v>182</v>
      </c>
      <c r="H17" s="36" t="n">
        <v>366</v>
      </c>
      <c r="I17" s="34" t="n">
        <f aca="false">ROUND(F17/H17*100,0)/100</f>
        <v>0.5</v>
      </c>
      <c r="J17" s="8" t="str">
        <f aca="false">IF(I17&gt;=Summary!$L$6,"Eligible","Shortage")</f>
        <v>Shortage</v>
      </c>
      <c r="K17" s="8" t="str">
        <f aca="false">IF(I17&lt;Summary!$L$8,"YES","No")</f>
        <v>No</v>
      </c>
      <c r="L17" s="8" t="str">
        <f aca="false">IF(I17&gt;=Summary!$L$7,"Counted","Not Counted")</f>
        <v>Not Counted</v>
      </c>
      <c r="M17" s="13" t="n">
        <f aca="false">IF(I17&gt;=Summary!$L$6,20,ROUND(I17/Summary!$L$6*10,1)*2)</f>
        <v>13.4</v>
      </c>
      <c r="N17" s="35" t="n">
        <f aca="false">20-M17</f>
        <v>6.6</v>
      </c>
      <c r="O17" s="8" t="str">
        <f aca="false">IF(I17&gt;=Summary!$L$6,"75%+ (all benefits)",IF(I17&gt;=Summary!$L$7,"55–74%",IF(I17&gt;=Summary!$L$8,"30–54%","Below 30%")))</f>
        <v>30–54%</v>
      </c>
    </row>
    <row r="18" customFormat="false" ht="15" hidden="false" customHeight="false" outlineLevel="0" collapsed="false">
      <c r="A18" s="8" t="n">
        <v>13</v>
      </c>
      <c r="B18" s="8" t="s">
        <v>20</v>
      </c>
      <c r="C18" s="8" t="s">
        <v>105</v>
      </c>
      <c r="D18" s="30" t="s">
        <v>106</v>
      </c>
      <c r="E18" s="9" t="n">
        <v>46300</v>
      </c>
      <c r="F18" s="8" t="n">
        <v>273</v>
      </c>
      <c r="G18" s="8" t="n">
        <v>93</v>
      </c>
      <c r="H18" s="8" t="n">
        <v>366</v>
      </c>
      <c r="I18" s="34" t="n">
        <f aca="false">ROUND(F18/H18*100,0)/100</f>
        <v>0.75</v>
      </c>
      <c r="J18" s="8" t="str">
        <f aca="false">IF(I18&gt;=Summary!$L$6,"Eligible","Shortage")</f>
        <v>Eligible</v>
      </c>
      <c r="K18" s="8" t="str">
        <f aca="false">IF(I18&lt;Summary!$L$8,"YES","No")</f>
        <v>No</v>
      </c>
      <c r="L18" s="8" t="str">
        <f aca="false">IF(I18&gt;=Summary!$L$7,"Counted","Not Counted")</f>
        <v>Counted</v>
      </c>
      <c r="M18" s="13" t="n">
        <f aca="false">IF(I18&gt;=Summary!$L$6,20,ROUND(I18/Summary!$L$6*10,1)*2)</f>
        <v>20</v>
      </c>
      <c r="N18" s="35" t="n">
        <f aca="false">20-M18</f>
        <v>0</v>
      </c>
      <c r="O18" s="8" t="str">
        <f aca="false">IF(I18&gt;=Summary!$L$6,"75%+ (all benefits)",IF(I18&gt;=Summary!$L$7,"55–74%",IF(I18&gt;=Summary!$L$8,"30–54%","Below 30%")))</f>
        <v>75%+ (all benefits)</v>
      </c>
    </row>
    <row r="19" customFormat="false" ht="15" hidden="false" customHeight="false" outlineLevel="0" collapsed="false">
      <c r="A19" s="36" t="n">
        <v>14</v>
      </c>
      <c r="B19" s="36" t="s">
        <v>20</v>
      </c>
      <c r="C19" s="36" t="s">
        <v>107</v>
      </c>
      <c r="D19" s="37" t="s">
        <v>108</v>
      </c>
      <c r="E19" s="38" t="n">
        <v>46300</v>
      </c>
      <c r="F19" s="36" t="n">
        <v>263</v>
      </c>
      <c r="G19" s="36" t="n">
        <v>103</v>
      </c>
      <c r="H19" s="36" t="n">
        <v>366</v>
      </c>
      <c r="I19" s="34" t="n">
        <f aca="false">ROUND(F19/H19*100,0)/100</f>
        <v>0.72</v>
      </c>
      <c r="J19" s="8" t="str">
        <f aca="false">IF(I19&gt;=Summary!$L$6,"Eligible","Shortage")</f>
        <v>Shortage</v>
      </c>
      <c r="K19" s="8" t="str">
        <f aca="false">IF(I19&lt;Summary!$L$8,"YES","No")</f>
        <v>No</v>
      </c>
      <c r="L19" s="8" t="str">
        <f aca="false">IF(I19&gt;=Summary!$L$7,"Counted","Not Counted")</f>
        <v>Counted</v>
      </c>
      <c r="M19" s="13" t="n">
        <f aca="false">IF(I19&gt;=Summary!$L$6,20,ROUND(I19/Summary!$L$6*10,1)*2)</f>
        <v>19.2</v>
      </c>
      <c r="N19" s="35" t="n">
        <f aca="false">20-M19</f>
        <v>0.800000000000001</v>
      </c>
      <c r="O19" s="8" t="str">
        <f aca="false">IF(I19&gt;=Summary!$L$6,"75%+ (all benefits)",IF(I19&gt;=Summary!$L$7,"55–74%",IF(I19&gt;=Summary!$L$8,"30–54%","Below 30%")))</f>
        <v>55–74%</v>
      </c>
    </row>
    <row r="20" customFormat="false" ht="15" hidden="false" customHeight="false" outlineLevel="0" collapsed="false">
      <c r="A20" s="8" t="n">
        <v>15</v>
      </c>
      <c r="B20" s="8" t="s">
        <v>20</v>
      </c>
      <c r="C20" s="8" t="s">
        <v>109</v>
      </c>
      <c r="D20" s="30" t="s">
        <v>110</v>
      </c>
      <c r="E20" s="9" t="n">
        <v>46300</v>
      </c>
      <c r="F20" s="8" t="n">
        <v>327</v>
      </c>
      <c r="G20" s="8" t="n">
        <v>39</v>
      </c>
      <c r="H20" s="8" t="n">
        <v>366</v>
      </c>
      <c r="I20" s="34" t="n">
        <f aca="false">ROUND(F20/H20*100,0)/100</f>
        <v>0.89</v>
      </c>
      <c r="J20" s="8" t="str">
        <f aca="false">IF(I20&gt;=Summary!$L$6,"Eligible","Shortage")</f>
        <v>Eligible</v>
      </c>
      <c r="K20" s="8" t="str">
        <f aca="false">IF(I20&lt;Summary!$L$8,"YES","No")</f>
        <v>No</v>
      </c>
      <c r="L20" s="8" t="str">
        <f aca="false">IF(I20&gt;=Summary!$L$7,"Counted","Not Counted")</f>
        <v>Counted</v>
      </c>
      <c r="M20" s="13" t="n">
        <f aca="false">IF(I20&gt;=Summary!$L$6,20,ROUND(I20/Summary!$L$6*10,1)*2)</f>
        <v>20</v>
      </c>
      <c r="N20" s="35" t="n">
        <f aca="false">20-M20</f>
        <v>0</v>
      </c>
      <c r="O20" s="8" t="str">
        <f aca="false">IF(I20&gt;=Summary!$L$6,"75%+ (all benefits)",IF(I20&gt;=Summary!$L$7,"55–74%",IF(I20&gt;=Summary!$L$8,"30–54%","Below 30%")))</f>
        <v>75%+ (all benefits)</v>
      </c>
    </row>
    <row r="21" customFormat="false" ht="15" hidden="false" customHeight="false" outlineLevel="0" collapsed="false">
      <c r="A21" s="36" t="n">
        <v>16</v>
      </c>
      <c r="B21" s="36" t="s">
        <v>20</v>
      </c>
      <c r="C21" s="36" t="s">
        <v>111</v>
      </c>
      <c r="D21" s="37" t="s">
        <v>112</v>
      </c>
      <c r="E21" s="38" t="n">
        <v>46300</v>
      </c>
      <c r="F21" s="36" t="n">
        <v>296</v>
      </c>
      <c r="G21" s="36" t="n">
        <v>70</v>
      </c>
      <c r="H21" s="36" t="n">
        <v>366</v>
      </c>
      <c r="I21" s="34" t="n">
        <f aca="false">ROUND(F21/H21*100,0)/100</f>
        <v>0.81</v>
      </c>
      <c r="J21" s="8" t="str">
        <f aca="false">IF(I21&gt;=Summary!$L$6,"Eligible","Shortage")</f>
        <v>Eligible</v>
      </c>
      <c r="K21" s="8" t="str">
        <f aca="false">IF(I21&lt;Summary!$L$8,"YES","No")</f>
        <v>No</v>
      </c>
      <c r="L21" s="8" t="str">
        <f aca="false">IF(I21&gt;=Summary!$L$7,"Counted","Not Counted")</f>
        <v>Counted</v>
      </c>
      <c r="M21" s="13" t="n">
        <f aca="false">IF(I21&gt;=Summary!$L$6,20,ROUND(I21/Summary!$L$6*10,1)*2)</f>
        <v>20</v>
      </c>
      <c r="N21" s="35" t="n">
        <f aca="false">20-M21</f>
        <v>0</v>
      </c>
      <c r="O21" s="8" t="str">
        <f aca="false">IF(I21&gt;=Summary!$L$6,"75%+ (all benefits)",IF(I21&gt;=Summary!$L$7,"55–74%",IF(I21&gt;=Summary!$L$8,"30–54%","Below 30%")))</f>
        <v>75%+ (all benefits)</v>
      </c>
    </row>
    <row r="22" customFormat="false" ht="15" hidden="false" customHeight="false" outlineLevel="0" collapsed="false">
      <c r="A22" s="8" t="n">
        <v>17</v>
      </c>
      <c r="B22" s="8" t="s">
        <v>20</v>
      </c>
      <c r="C22" s="8" t="s">
        <v>113</v>
      </c>
      <c r="D22" s="30" t="s">
        <v>114</v>
      </c>
      <c r="E22" s="9" t="n">
        <v>46300</v>
      </c>
      <c r="F22" s="8" t="n">
        <v>257</v>
      </c>
      <c r="G22" s="8" t="n">
        <v>109</v>
      </c>
      <c r="H22" s="8" t="n">
        <v>366</v>
      </c>
      <c r="I22" s="34" t="n">
        <f aca="false">ROUND(F22/H22*100,0)/100</f>
        <v>0.7</v>
      </c>
      <c r="J22" s="8" t="str">
        <f aca="false">IF(I22&gt;=Summary!$L$6,"Eligible","Shortage")</f>
        <v>Shortage</v>
      </c>
      <c r="K22" s="8" t="str">
        <f aca="false">IF(I22&lt;Summary!$L$8,"YES","No")</f>
        <v>No</v>
      </c>
      <c r="L22" s="8" t="str">
        <f aca="false">IF(I22&gt;=Summary!$L$7,"Counted","Not Counted")</f>
        <v>Counted</v>
      </c>
      <c r="M22" s="13" t="n">
        <f aca="false">IF(I22&gt;=Summary!$L$6,20,ROUND(I22/Summary!$L$6*10,1)*2)</f>
        <v>18.6</v>
      </c>
      <c r="N22" s="35" t="n">
        <f aca="false">20-M22</f>
        <v>1.4</v>
      </c>
      <c r="O22" s="8" t="str">
        <f aca="false">IF(I22&gt;=Summary!$L$6,"75%+ (all benefits)",IF(I22&gt;=Summary!$L$7,"55–74%",IF(I22&gt;=Summary!$L$8,"30–54%","Below 30%")))</f>
        <v>55–74%</v>
      </c>
    </row>
    <row r="23" customFormat="false" ht="15" hidden="false" customHeight="false" outlineLevel="0" collapsed="false">
      <c r="A23" s="36" t="n">
        <v>18</v>
      </c>
      <c r="B23" s="36" t="s">
        <v>20</v>
      </c>
      <c r="C23" s="36" t="s">
        <v>115</v>
      </c>
      <c r="D23" s="37" t="s">
        <v>116</v>
      </c>
      <c r="E23" s="38" t="n">
        <v>46300</v>
      </c>
      <c r="F23" s="36" t="n">
        <v>196</v>
      </c>
      <c r="G23" s="36" t="n">
        <v>170</v>
      </c>
      <c r="H23" s="36" t="n">
        <v>366</v>
      </c>
      <c r="I23" s="34" t="n">
        <f aca="false">ROUND(F23/H23*100,0)/100</f>
        <v>0.54</v>
      </c>
      <c r="J23" s="8" t="str">
        <f aca="false">IF(I23&gt;=Summary!$L$6,"Eligible","Shortage")</f>
        <v>Shortage</v>
      </c>
      <c r="K23" s="8" t="str">
        <f aca="false">IF(I23&lt;Summary!$L$8,"YES","No")</f>
        <v>No</v>
      </c>
      <c r="L23" s="8" t="str">
        <f aca="false">IF(I23&gt;=Summary!$L$7,"Counted","Not Counted")</f>
        <v>Not Counted</v>
      </c>
      <c r="M23" s="13" t="n">
        <f aca="false">IF(I23&gt;=Summary!$L$6,20,ROUND(I23/Summary!$L$6*10,1)*2)</f>
        <v>14.4</v>
      </c>
      <c r="N23" s="35" t="n">
        <f aca="false">20-M23</f>
        <v>5.6</v>
      </c>
      <c r="O23" s="8" t="str">
        <f aca="false">IF(I23&gt;=Summary!$L$6,"75%+ (all benefits)",IF(I23&gt;=Summary!$L$7,"55–74%",IF(I23&gt;=Summary!$L$8,"30–54%","Below 30%")))</f>
        <v>30–54%</v>
      </c>
    </row>
    <row r="24" customFormat="false" ht="15" hidden="false" customHeight="false" outlineLevel="0" collapsed="false">
      <c r="A24" s="8" t="n">
        <v>19</v>
      </c>
      <c r="B24" s="8" t="s">
        <v>20</v>
      </c>
      <c r="C24" s="8" t="s">
        <v>117</v>
      </c>
      <c r="D24" s="30" t="s">
        <v>118</v>
      </c>
      <c r="E24" s="9" t="n">
        <v>46300</v>
      </c>
      <c r="F24" s="8" t="n">
        <v>296</v>
      </c>
      <c r="G24" s="8" t="n">
        <v>70</v>
      </c>
      <c r="H24" s="8" t="n">
        <v>366</v>
      </c>
      <c r="I24" s="34" t="n">
        <f aca="false">ROUND(F24/H24*100,0)/100</f>
        <v>0.81</v>
      </c>
      <c r="J24" s="8" t="str">
        <f aca="false">IF(I24&gt;=Summary!$L$6,"Eligible","Shortage")</f>
        <v>Eligible</v>
      </c>
      <c r="K24" s="8" t="str">
        <f aca="false">IF(I24&lt;Summary!$L$8,"YES","No")</f>
        <v>No</v>
      </c>
      <c r="L24" s="8" t="str">
        <f aca="false">IF(I24&gt;=Summary!$L$7,"Counted","Not Counted")</f>
        <v>Counted</v>
      </c>
      <c r="M24" s="13" t="n">
        <f aca="false">IF(I24&gt;=Summary!$L$6,20,ROUND(I24/Summary!$L$6*10,1)*2)</f>
        <v>20</v>
      </c>
      <c r="N24" s="35" t="n">
        <f aca="false">20-M24</f>
        <v>0</v>
      </c>
      <c r="O24" s="8" t="str">
        <f aca="false">IF(I24&gt;=Summary!$L$6,"75%+ (all benefits)",IF(I24&gt;=Summary!$L$7,"55–74%",IF(I24&gt;=Summary!$L$8,"30–54%","Below 30%")))</f>
        <v>75%+ (all benefits)</v>
      </c>
    </row>
    <row r="25" customFormat="false" ht="15" hidden="false" customHeight="false" outlineLevel="0" collapsed="false">
      <c r="A25" s="36" t="n">
        <v>20</v>
      </c>
      <c r="B25" s="36" t="s">
        <v>20</v>
      </c>
      <c r="C25" s="36" t="s">
        <v>119</v>
      </c>
      <c r="D25" s="37" t="s">
        <v>120</v>
      </c>
      <c r="E25" s="38" t="n">
        <v>46300</v>
      </c>
      <c r="F25" s="36" t="n">
        <v>345</v>
      </c>
      <c r="G25" s="36" t="n">
        <v>36</v>
      </c>
      <c r="H25" s="36" t="n">
        <v>381</v>
      </c>
      <c r="I25" s="34" t="n">
        <f aca="false">ROUND(F25/H25*100,0)/100</f>
        <v>0.91</v>
      </c>
      <c r="J25" s="8" t="str">
        <f aca="false">IF(I25&gt;=Summary!$L$6,"Eligible","Shortage")</f>
        <v>Eligible</v>
      </c>
      <c r="K25" s="8" t="str">
        <f aca="false">IF(I25&lt;Summary!$L$8,"YES","No")</f>
        <v>No</v>
      </c>
      <c r="L25" s="8" t="str">
        <f aca="false">IF(I25&gt;=Summary!$L$7,"Counted","Not Counted")</f>
        <v>Counted</v>
      </c>
      <c r="M25" s="13" t="n">
        <f aca="false">IF(I25&gt;=Summary!$L$6,20,ROUND(I25/Summary!$L$6*10,1)*2)</f>
        <v>20</v>
      </c>
      <c r="N25" s="35" t="n">
        <f aca="false">20-M25</f>
        <v>0</v>
      </c>
      <c r="O25" s="8" t="str">
        <f aca="false">IF(I25&gt;=Summary!$L$6,"75%+ (all benefits)",IF(I25&gt;=Summary!$L$7,"55–74%",IF(I25&gt;=Summary!$L$8,"30–54%","Below 30%")))</f>
        <v>75%+ (all benefits)</v>
      </c>
    </row>
    <row r="26" customFormat="false" ht="15" hidden="false" customHeight="false" outlineLevel="0" collapsed="false">
      <c r="A26" s="8" t="n">
        <v>21</v>
      </c>
      <c r="B26" s="8" t="s">
        <v>20</v>
      </c>
      <c r="C26" s="8" t="s">
        <v>121</v>
      </c>
      <c r="D26" s="30" t="s">
        <v>122</v>
      </c>
      <c r="E26" s="9" t="n">
        <v>46300</v>
      </c>
      <c r="F26" s="8" t="n">
        <v>273</v>
      </c>
      <c r="G26" s="8" t="n">
        <v>93</v>
      </c>
      <c r="H26" s="8" t="n">
        <v>366</v>
      </c>
      <c r="I26" s="34" t="n">
        <f aca="false">ROUND(F26/H26*100,0)/100</f>
        <v>0.75</v>
      </c>
      <c r="J26" s="8" t="str">
        <f aca="false">IF(I26&gt;=Summary!$L$6,"Eligible","Shortage")</f>
        <v>Eligible</v>
      </c>
      <c r="K26" s="8" t="str">
        <f aca="false">IF(I26&lt;Summary!$L$8,"YES","No")</f>
        <v>No</v>
      </c>
      <c r="L26" s="8" t="str">
        <f aca="false">IF(I26&gt;=Summary!$L$7,"Counted","Not Counted")</f>
        <v>Counted</v>
      </c>
      <c r="M26" s="13" t="n">
        <f aca="false">IF(I26&gt;=Summary!$L$6,20,ROUND(I26/Summary!$L$6*10,1)*2)</f>
        <v>20</v>
      </c>
      <c r="N26" s="35" t="n">
        <f aca="false">20-M26</f>
        <v>0</v>
      </c>
      <c r="O26" s="8" t="str">
        <f aca="false">IF(I26&gt;=Summary!$L$6,"75%+ (all benefits)",IF(I26&gt;=Summary!$L$7,"55–74%",IF(I26&gt;=Summary!$L$8,"30–54%","Below 30%")))</f>
        <v>75%+ (all benefits)</v>
      </c>
    </row>
    <row r="27" customFormat="false" ht="15" hidden="false" customHeight="false" outlineLevel="0" collapsed="false">
      <c r="A27" s="36" t="n">
        <v>22</v>
      </c>
      <c r="B27" s="36" t="s">
        <v>20</v>
      </c>
      <c r="C27" s="36" t="s">
        <v>123</v>
      </c>
      <c r="D27" s="37" t="s">
        <v>124</v>
      </c>
      <c r="E27" s="38" t="n">
        <v>46300</v>
      </c>
      <c r="F27" s="36" t="n">
        <v>295</v>
      </c>
      <c r="G27" s="36" t="n">
        <v>71</v>
      </c>
      <c r="H27" s="36" t="n">
        <v>366</v>
      </c>
      <c r="I27" s="34" t="n">
        <f aca="false">ROUND(F27/H27*100,0)/100</f>
        <v>0.81</v>
      </c>
      <c r="J27" s="8" t="str">
        <f aca="false">IF(I27&gt;=Summary!$L$6,"Eligible","Shortage")</f>
        <v>Eligible</v>
      </c>
      <c r="K27" s="8" t="str">
        <f aca="false">IF(I27&lt;Summary!$L$8,"YES","No")</f>
        <v>No</v>
      </c>
      <c r="L27" s="8" t="str">
        <f aca="false">IF(I27&gt;=Summary!$L$7,"Counted","Not Counted")</f>
        <v>Counted</v>
      </c>
      <c r="M27" s="13" t="n">
        <f aca="false">IF(I27&gt;=Summary!$L$6,20,ROUND(I27/Summary!$L$6*10,1)*2)</f>
        <v>20</v>
      </c>
      <c r="N27" s="35" t="n">
        <f aca="false">20-M27</f>
        <v>0</v>
      </c>
      <c r="O27" s="8" t="str">
        <f aca="false">IF(I27&gt;=Summary!$L$6,"75%+ (all benefits)",IF(I27&gt;=Summary!$L$7,"55–74%",IF(I27&gt;=Summary!$L$8,"30–54%","Below 30%")))</f>
        <v>75%+ (all benefits)</v>
      </c>
    </row>
    <row r="28" customFormat="false" ht="15" hidden="false" customHeight="false" outlineLevel="0" collapsed="false">
      <c r="A28" s="8" t="n">
        <v>23</v>
      </c>
      <c r="B28" s="8" t="s">
        <v>20</v>
      </c>
      <c r="C28" s="8" t="s">
        <v>125</v>
      </c>
      <c r="D28" s="30" t="s">
        <v>126</v>
      </c>
      <c r="E28" s="9" t="n">
        <v>46300</v>
      </c>
      <c r="F28" s="8" t="n">
        <v>319</v>
      </c>
      <c r="G28" s="8" t="n">
        <v>47</v>
      </c>
      <c r="H28" s="8" t="n">
        <v>366</v>
      </c>
      <c r="I28" s="34" t="n">
        <f aca="false">ROUND(F28/H28*100,0)/100</f>
        <v>0.87</v>
      </c>
      <c r="J28" s="8" t="str">
        <f aca="false">IF(I28&gt;=Summary!$L$6,"Eligible","Shortage")</f>
        <v>Eligible</v>
      </c>
      <c r="K28" s="8" t="str">
        <f aca="false">IF(I28&lt;Summary!$L$8,"YES","No")</f>
        <v>No</v>
      </c>
      <c r="L28" s="8" t="str">
        <f aca="false">IF(I28&gt;=Summary!$L$7,"Counted","Not Counted")</f>
        <v>Counted</v>
      </c>
      <c r="M28" s="13" t="n">
        <f aca="false">IF(I28&gt;=Summary!$L$6,20,ROUND(I28/Summary!$L$6*10,1)*2)</f>
        <v>20</v>
      </c>
      <c r="N28" s="35" t="n">
        <f aca="false">20-M28</f>
        <v>0</v>
      </c>
      <c r="O28" s="8" t="str">
        <f aca="false">IF(I28&gt;=Summary!$L$6,"75%+ (all benefits)",IF(I28&gt;=Summary!$L$7,"55–74%",IF(I28&gt;=Summary!$L$8,"30–54%","Below 30%")))</f>
        <v>75%+ (all benefits)</v>
      </c>
    </row>
    <row r="29" customFormat="false" ht="15" hidden="false" customHeight="false" outlineLevel="0" collapsed="false">
      <c r="A29" s="36" t="n">
        <v>24</v>
      </c>
      <c r="B29" s="36" t="s">
        <v>20</v>
      </c>
      <c r="C29" s="36" t="s">
        <v>127</v>
      </c>
      <c r="D29" s="37" t="s">
        <v>128</v>
      </c>
      <c r="E29" s="38" t="n">
        <v>46300</v>
      </c>
      <c r="F29" s="36" t="n">
        <v>211</v>
      </c>
      <c r="G29" s="36" t="n">
        <v>155</v>
      </c>
      <c r="H29" s="36" t="n">
        <v>366</v>
      </c>
      <c r="I29" s="34" t="n">
        <f aca="false">ROUND(F29/H29*100,0)/100</f>
        <v>0.58</v>
      </c>
      <c r="J29" s="8" t="str">
        <f aca="false">IF(I29&gt;=Summary!$L$6,"Eligible","Shortage")</f>
        <v>Shortage</v>
      </c>
      <c r="K29" s="8" t="str">
        <f aca="false">IF(I29&lt;Summary!$L$8,"YES","No")</f>
        <v>No</v>
      </c>
      <c r="L29" s="8" t="str">
        <f aca="false">IF(I29&gt;=Summary!$L$7,"Counted","Not Counted")</f>
        <v>Counted</v>
      </c>
      <c r="M29" s="13" t="n">
        <f aca="false">IF(I29&gt;=Summary!$L$6,20,ROUND(I29/Summary!$L$6*10,1)*2)</f>
        <v>15.4</v>
      </c>
      <c r="N29" s="35" t="n">
        <f aca="false">20-M29</f>
        <v>4.6</v>
      </c>
      <c r="O29" s="8" t="str">
        <f aca="false">IF(I29&gt;=Summary!$L$6,"75%+ (all benefits)",IF(I29&gt;=Summary!$L$7,"55–74%",IF(I29&gt;=Summary!$L$8,"30–54%","Below 30%")))</f>
        <v>55–74%</v>
      </c>
    </row>
    <row r="30" customFormat="false" ht="15" hidden="false" customHeight="false" outlineLevel="0" collapsed="false">
      <c r="A30" s="8" t="n">
        <v>25</v>
      </c>
      <c r="B30" s="8" t="s">
        <v>20</v>
      </c>
      <c r="C30" s="8" t="s">
        <v>129</v>
      </c>
      <c r="D30" s="30" t="s">
        <v>130</v>
      </c>
      <c r="E30" s="9" t="n">
        <v>46300</v>
      </c>
      <c r="F30" s="8" t="n">
        <v>225</v>
      </c>
      <c r="G30" s="8" t="n">
        <v>141</v>
      </c>
      <c r="H30" s="8" t="n">
        <v>366</v>
      </c>
      <c r="I30" s="34" t="n">
        <f aca="false">ROUND(F30/H30*100,0)/100</f>
        <v>0.61</v>
      </c>
      <c r="J30" s="8" t="str">
        <f aca="false">IF(I30&gt;=Summary!$L$6,"Eligible","Shortage")</f>
        <v>Shortage</v>
      </c>
      <c r="K30" s="8" t="str">
        <f aca="false">IF(I30&lt;Summary!$L$8,"YES","No")</f>
        <v>No</v>
      </c>
      <c r="L30" s="8" t="str">
        <f aca="false">IF(I30&gt;=Summary!$L$7,"Counted","Not Counted")</f>
        <v>Counted</v>
      </c>
      <c r="M30" s="13" t="n">
        <f aca="false">IF(I30&gt;=Summary!$L$6,20,ROUND(I30/Summary!$L$6*10,1)*2)</f>
        <v>16.2</v>
      </c>
      <c r="N30" s="35" t="n">
        <f aca="false">20-M30</f>
        <v>3.8</v>
      </c>
      <c r="O30" s="8" t="str">
        <f aca="false">IF(I30&gt;=Summary!$L$6,"75%+ (all benefits)",IF(I30&gt;=Summary!$L$7,"55–74%",IF(I30&gt;=Summary!$L$8,"30–54%","Below 30%")))</f>
        <v>55–74%</v>
      </c>
    </row>
    <row r="31" customFormat="false" ht="15" hidden="false" customHeight="false" outlineLevel="0" collapsed="false">
      <c r="A31" s="36" t="n">
        <v>26</v>
      </c>
      <c r="B31" s="36" t="s">
        <v>20</v>
      </c>
      <c r="C31" s="36" t="s">
        <v>131</v>
      </c>
      <c r="D31" s="37" t="s">
        <v>132</v>
      </c>
      <c r="E31" s="38" t="n">
        <v>46300</v>
      </c>
      <c r="F31" s="36" t="n">
        <v>238</v>
      </c>
      <c r="G31" s="36" t="n">
        <v>128</v>
      </c>
      <c r="H31" s="36" t="n">
        <v>366</v>
      </c>
      <c r="I31" s="34" t="n">
        <f aca="false">ROUND(F31/H31*100,0)/100</f>
        <v>0.65</v>
      </c>
      <c r="J31" s="8" t="str">
        <f aca="false">IF(I31&gt;=Summary!$L$6,"Eligible","Shortage")</f>
        <v>Shortage</v>
      </c>
      <c r="K31" s="8" t="str">
        <f aca="false">IF(I31&lt;Summary!$L$8,"YES","No")</f>
        <v>No</v>
      </c>
      <c r="L31" s="8" t="str">
        <f aca="false">IF(I31&gt;=Summary!$L$7,"Counted","Not Counted")</f>
        <v>Counted</v>
      </c>
      <c r="M31" s="13" t="n">
        <f aca="false">IF(I31&gt;=Summary!$L$6,20,ROUND(I31/Summary!$L$6*10,1)*2)</f>
        <v>17.4</v>
      </c>
      <c r="N31" s="35" t="n">
        <f aca="false">20-M31</f>
        <v>2.6</v>
      </c>
      <c r="O31" s="8" t="str">
        <f aca="false">IF(I31&gt;=Summary!$L$6,"75%+ (all benefits)",IF(I31&gt;=Summary!$L$7,"55–74%",IF(I31&gt;=Summary!$L$8,"30–54%","Below 30%")))</f>
        <v>55–74%</v>
      </c>
    </row>
    <row r="32" customFormat="false" ht="15" hidden="false" customHeight="false" outlineLevel="0" collapsed="false">
      <c r="A32" s="8" t="n">
        <v>27</v>
      </c>
      <c r="B32" s="8" t="s">
        <v>20</v>
      </c>
      <c r="C32" s="8" t="s">
        <v>133</v>
      </c>
      <c r="D32" s="30" t="s">
        <v>134</v>
      </c>
      <c r="E32" s="9" t="n">
        <v>46300</v>
      </c>
      <c r="F32" s="8" t="n">
        <v>308</v>
      </c>
      <c r="G32" s="8" t="n">
        <v>58</v>
      </c>
      <c r="H32" s="8" t="n">
        <v>366</v>
      </c>
      <c r="I32" s="34" t="n">
        <f aca="false">ROUND(F32/H32*100,0)/100</f>
        <v>0.84</v>
      </c>
      <c r="J32" s="8" t="str">
        <f aca="false">IF(I32&gt;=Summary!$L$6,"Eligible","Shortage")</f>
        <v>Eligible</v>
      </c>
      <c r="K32" s="8" t="str">
        <f aca="false">IF(I32&lt;Summary!$L$8,"YES","No")</f>
        <v>No</v>
      </c>
      <c r="L32" s="8" t="str">
        <f aca="false">IF(I32&gt;=Summary!$L$7,"Counted","Not Counted")</f>
        <v>Counted</v>
      </c>
      <c r="M32" s="13" t="n">
        <f aca="false">IF(I32&gt;=Summary!$L$6,20,ROUND(I32/Summary!$L$6*10,1)*2)</f>
        <v>20</v>
      </c>
      <c r="N32" s="35" t="n">
        <f aca="false">20-M32</f>
        <v>0</v>
      </c>
      <c r="O32" s="8" t="str">
        <f aca="false">IF(I32&gt;=Summary!$L$6,"75%+ (all benefits)",IF(I32&gt;=Summary!$L$7,"55–74%",IF(I32&gt;=Summary!$L$8,"30–54%","Below 30%")))</f>
        <v>75%+ (all benefits)</v>
      </c>
    </row>
    <row r="33" customFormat="false" ht="15" hidden="false" customHeight="false" outlineLevel="0" collapsed="false">
      <c r="A33" s="36" t="n">
        <v>28</v>
      </c>
      <c r="B33" s="36" t="s">
        <v>20</v>
      </c>
      <c r="C33" s="36" t="s">
        <v>135</v>
      </c>
      <c r="D33" s="37" t="s">
        <v>136</v>
      </c>
      <c r="E33" s="38" t="n">
        <v>46300</v>
      </c>
      <c r="F33" s="36" t="n">
        <v>276</v>
      </c>
      <c r="G33" s="36" t="n">
        <v>90</v>
      </c>
      <c r="H33" s="36" t="n">
        <v>366</v>
      </c>
      <c r="I33" s="34" t="n">
        <f aca="false">ROUND(F33/H33*100,0)/100</f>
        <v>0.75</v>
      </c>
      <c r="J33" s="8" t="str">
        <f aca="false">IF(I33&gt;=Summary!$L$6,"Eligible","Shortage")</f>
        <v>Eligible</v>
      </c>
      <c r="K33" s="8" t="str">
        <f aca="false">IF(I33&lt;Summary!$L$8,"YES","No")</f>
        <v>No</v>
      </c>
      <c r="L33" s="8" t="str">
        <f aca="false">IF(I33&gt;=Summary!$L$7,"Counted","Not Counted")</f>
        <v>Counted</v>
      </c>
      <c r="M33" s="13" t="n">
        <f aca="false">IF(I33&gt;=Summary!$L$6,20,ROUND(I33/Summary!$L$6*10,1)*2)</f>
        <v>20</v>
      </c>
      <c r="N33" s="35" t="n">
        <f aca="false">20-M33</f>
        <v>0</v>
      </c>
      <c r="O33" s="8" t="str">
        <f aca="false">IF(I33&gt;=Summary!$L$6,"75%+ (all benefits)",IF(I33&gt;=Summary!$L$7,"55–74%",IF(I33&gt;=Summary!$L$8,"30–54%","Below 30%")))</f>
        <v>75%+ (all benefits)</v>
      </c>
    </row>
    <row r="34" customFormat="false" ht="15" hidden="false" customHeight="false" outlineLevel="0" collapsed="false">
      <c r="A34" s="8" t="n">
        <v>29</v>
      </c>
      <c r="B34" s="8" t="s">
        <v>20</v>
      </c>
      <c r="C34" s="8" t="s">
        <v>137</v>
      </c>
      <c r="D34" s="30" t="s">
        <v>138</v>
      </c>
      <c r="E34" s="9" t="n">
        <v>46300</v>
      </c>
      <c r="F34" s="8" t="n">
        <v>114</v>
      </c>
      <c r="G34" s="8" t="n">
        <v>252</v>
      </c>
      <c r="H34" s="8" t="n">
        <v>366</v>
      </c>
      <c r="I34" s="34" t="n">
        <f aca="false">ROUND(F34/H34*100,0)/100</f>
        <v>0.31</v>
      </c>
      <c r="J34" s="8" t="str">
        <f aca="false">IF(I34&gt;=Summary!$L$6,"Eligible","Shortage")</f>
        <v>Shortage</v>
      </c>
      <c r="K34" s="8" t="str">
        <f aca="false">IF(I34&lt;Summary!$L$8,"YES","No")</f>
        <v>No</v>
      </c>
      <c r="L34" s="8" t="str">
        <f aca="false">IF(I34&gt;=Summary!$L$7,"Counted","Not Counted")</f>
        <v>Not Counted</v>
      </c>
      <c r="M34" s="13" t="n">
        <f aca="false">IF(I34&gt;=Summary!$L$6,20,ROUND(I34/Summary!$L$6*10,1)*2)</f>
        <v>8.2</v>
      </c>
      <c r="N34" s="35" t="n">
        <f aca="false">20-M34</f>
        <v>11.8</v>
      </c>
      <c r="O34" s="8" t="str">
        <f aca="false">IF(I34&gt;=Summary!$L$6,"75%+ (all benefits)",IF(I34&gt;=Summary!$L$7,"55–74%",IF(I34&gt;=Summary!$L$8,"30–54%","Below 30%")))</f>
        <v>30–54%</v>
      </c>
    </row>
    <row r="35" customFormat="false" ht="15" hidden="false" customHeight="false" outlineLevel="0" collapsed="false">
      <c r="A35" s="36" t="n">
        <v>30</v>
      </c>
      <c r="B35" s="36" t="s">
        <v>20</v>
      </c>
      <c r="C35" s="36" t="s">
        <v>53</v>
      </c>
      <c r="D35" s="37" t="s">
        <v>54</v>
      </c>
      <c r="E35" s="38" t="n">
        <v>46300</v>
      </c>
      <c r="F35" s="36" t="n">
        <v>76</v>
      </c>
      <c r="G35" s="36" t="n">
        <v>290</v>
      </c>
      <c r="H35" s="36" t="n">
        <v>366</v>
      </c>
      <c r="I35" s="34" t="n">
        <f aca="false">ROUND(F35/H35*100,0)/100</f>
        <v>0.21</v>
      </c>
      <c r="J35" s="8" t="str">
        <f aca="false">IF(I35&gt;=Summary!$L$6,"Eligible","Shortage")</f>
        <v>Shortage</v>
      </c>
      <c r="K35" s="8" t="str">
        <f aca="false">IF(I35&lt;Summary!$L$8,"YES","No")</f>
        <v>YES</v>
      </c>
      <c r="L35" s="8" t="str">
        <f aca="false">IF(I35&gt;=Summary!$L$7,"Counted","Not Counted")</f>
        <v>Not Counted</v>
      </c>
      <c r="M35" s="13" t="n">
        <f aca="false">IF(I35&gt;=Summary!$L$6,20,ROUND(I35/Summary!$L$6*10,1)*2)</f>
        <v>5.6</v>
      </c>
      <c r="N35" s="35" t="n">
        <f aca="false">20-M35</f>
        <v>14.4</v>
      </c>
      <c r="O35" s="8" t="str">
        <f aca="false">IF(I35&gt;=Summary!$L$6,"75%+ (all benefits)",IF(I35&gt;=Summary!$L$7,"55–74%",IF(I35&gt;=Summary!$L$8,"30–54%","Below 30%")))</f>
        <v>Below 30%</v>
      </c>
    </row>
    <row r="36" customFormat="false" ht="15" hidden="false" customHeight="false" outlineLevel="0" collapsed="false">
      <c r="A36" s="8" t="n">
        <v>31</v>
      </c>
      <c r="B36" s="8" t="s">
        <v>20</v>
      </c>
      <c r="C36" s="8" t="s">
        <v>45</v>
      </c>
      <c r="D36" s="30" t="s">
        <v>46</v>
      </c>
      <c r="E36" s="9" t="n">
        <v>46300</v>
      </c>
      <c r="F36" s="8" t="n">
        <v>1</v>
      </c>
      <c r="G36" s="8" t="n">
        <v>101</v>
      </c>
      <c r="H36" s="8" t="n">
        <v>102</v>
      </c>
      <c r="I36" s="34" t="n">
        <f aca="false">ROUND(F36/H36*100,0)/100</f>
        <v>0.01</v>
      </c>
      <c r="J36" s="8" t="str">
        <f aca="false">IF(I36&gt;=Summary!$L$6,"Eligible","Shortage")</f>
        <v>Shortage</v>
      </c>
      <c r="K36" s="8" t="str">
        <f aca="false">IF(I36&lt;Summary!$L$8,"YES","No")</f>
        <v>YES</v>
      </c>
      <c r="L36" s="8" t="str">
        <f aca="false">IF(I36&gt;=Summary!$L$7,"Counted","Not Counted")</f>
        <v>Not Counted</v>
      </c>
      <c r="M36" s="13" t="n">
        <f aca="false">IF(I36&gt;=Summary!$L$6,20,ROUND(I36/Summary!$L$6*10,1)*2)</f>
        <v>0.2</v>
      </c>
      <c r="N36" s="35" t="n">
        <f aca="false">20-M36</f>
        <v>19.8</v>
      </c>
      <c r="O36" s="8" t="str">
        <f aca="false">IF(I36&gt;=Summary!$L$6,"75%+ (all benefits)",IF(I36&gt;=Summary!$L$7,"55–74%",IF(I36&gt;=Summary!$L$8,"30–54%","Below 30%")))</f>
        <v>Below 30%</v>
      </c>
    </row>
    <row r="37" customFormat="false" ht="15" hidden="false" customHeight="false" outlineLevel="0" collapsed="false">
      <c r="A37" s="36" t="n">
        <v>32</v>
      </c>
      <c r="B37" s="36" t="s">
        <v>20</v>
      </c>
      <c r="C37" s="36" t="s">
        <v>49</v>
      </c>
      <c r="D37" s="37" t="s">
        <v>50</v>
      </c>
      <c r="E37" s="38" t="n">
        <v>46300</v>
      </c>
      <c r="F37" s="36" t="n">
        <v>52</v>
      </c>
      <c r="G37" s="36" t="n">
        <v>314</v>
      </c>
      <c r="H37" s="36" t="n">
        <v>366</v>
      </c>
      <c r="I37" s="34" t="n">
        <f aca="false">ROUND(F37/H37*100,0)/100</f>
        <v>0.14</v>
      </c>
      <c r="J37" s="8" t="str">
        <f aca="false">IF(I37&gt;=Summary!$L$6,"Eligible","Shortage")</f>
        <v>Shortage</v>
      </c>
      <c r="K37" s="8" t="str">
        <f aca="false">IF(I37&lt;Summary!$L$8,"YES","No")</f>
        <v>YES</v>
      </c>
      <c r="L37" s="8" t="str">
        <f aca="false">IF(I37&gt;=Summary!$L$7,"Counted","Not Counted")</f>
        <v>Not Counted</v>
      </c>
      <c r="M37" s="13" t="n">
        <f aca="false">IF(I37&gt;=Summary!$L$6,20,ROUND(I37/Summary!$L$6*10,1)*2)</f>
        <v>3.8</v>
      </c>
      <c r="N37" s="35" t="n">
        <f aca="false">20-M37</f>
        <v>16.2</v>
      </c>
      <c r="O37" s="8" t="str">
        <f aca="false">IF(I37&gt;=Summary!$L$6,"75%+ (all benefits)",IF(I37&gt;=Summary!$L$7,"55–74%",IF(I37&gt;=Summary!$L$8,"30–54%","Below 30%")))</f>
        <v>Below 30%</v>
      </c>
    </row>
    <row r="38" customFormat="false" ht="15" hidden="false" customHeight="false" outlineLevel="0" collapsed="false">
      <c r="A38" s="8" t="n">
        <v>33</v>
      </c>
      <c r="B38" s="8" t="s">
        <v>20</v>
      </c>
      <c r="C38" s="8" t="s">
        <v>139</v>
      </c>
      <c r="D38" s="30" t="s">
        <v>140</v>
      </c>
      <c r="E38" s="9" t="n">
        <v>46300</v>
      </c>
      <c r="F38" s="8" t="n">
        <v>294</v>
      </c>
      <c r="G38" s="8" t="n">
        <v>72</v>
      </c>
      <c r="H38" s="8" t="n">
        <v>366</v>
      </c>
      <c r="I38" s="34" t="n">
        <f aca="false">ROUND(F38/H38*100,0)/100</f>
        <v>0.8</v>
      </c>
      <c r="J38" s="8" t="str">
        <f aca="false">IF(I38&gt;=Summary!$L$6,"Eligible","Shortage")</f>
        <v>Eligible</v>
      </c>
      <c r="K38" s="8" t="str">
        <f aca="false">IF(I38&lt;Summary!$L$8,"YES","No")</f>
        <v>No</v>
      </c>
      <c r="L38" s="8" t="str">
        <f aca="false">IF(I38&gt;=Summary!$L$7,"Counted","Not Counted")</f>
        <v>Counted</v>
      </c>
      <c r="M38" s="13" t="n">
        <f aca="false">IF(I38&gt;=Summary!$L$6,20,ROUND(I38/Summary!$L$6*10,1)*2)</f>
        <v>20</v>
      </c>
      <c r="N38" s="35" t="n">
        <f aca="false">20-M38</f>
        <v>0</v>
      </c>
      <c r="O38" s="8" t="str">
        <f aca="false">IF(I38&gt;=Summary!$L$6,"75%+ (all benefits)",IF(I38&gt;=Summary!$L$7,"55–74%",IF(I38&gt;=Summary!$L$8,"30–54%","Below 30%")))</f>
        <v>75%+ (all benefits)</v>
      </c>
    </row>
    <row r="39" customFormat="false" ht="15" hidden="false" customHeight="false" outlineLevel="0" collapsed="false">
      <c r="A39" s="36" t="n">
        <v>34</v>
      </c>
      <c r="B39" s="36" t="s">
        <v>20</v>
      </c>
      <c r="C39" s="36" t="s">
        <v>141</v>
      </c>
      <c r="D39" s="37" t="s">
        <v>142</v>
      </c>
      <c r="E39" s="38" t="n">
        <v>46300</v>
      </c>
      <c r="F39" s="36" t="n">
        <v>314</v>
      </c>
      <c r="G39" s="36" t="n">
        <v>52</v>
      </c>
      <c r="H39" s="36" t="n">
        <v>366</v>
      </c>
      <c r="I39" s="34" t="n">
        <f aca="false">ROUND(F39/H39*100,0)/100</f>
        <v>0.86</v>
      </c>
      <c r="J39" s="8" t="str">
        <f aca="false">IF(I39&gt;=Summary!$L$6,"Eligible","Shortage")</f>
        <v>Eligible</v>
      </c>
      <c r="K39" s="8" t="str">
        <f aca="false">IF(I39&lt;Summary!$L$8,"YES","No")</f>
        <v>No</v>
      </c>
      <c r="L39" s="8" t="str">
        <f aca="false">IF(I39&gt;=Summary!$L$7,"Counted","Not Counted")</f>
        <v>Counted</v>
      </c>
      <c r="M39" s="13" t="n">
        <f aca="false">IF(I39&gt;=Summary!$L$6,20,ROUND(I39/Summary!$L$6*10,1)*2)</f>
        <v>20</v>
      </c>
      <c r="N39" s="35" t="n">
        <f aca="false">20-M39</f>
        <v>0</v>
      </c>
      <c r="O39" s="8" t="str">
        <f aca="false">IF(I39&gt;=Summary!$L$6,"75%+ (all benefits)",IF(I39&gt;=Summary!$L$7,"55–74%",IF(I39&gt;=Summary!$L$8,"30–54%","Below 30%")))</f>
        <v>75%+ (all benefits)</v>
      </c>
    </row>
    <row r="40" customFormat="false" ht="15" hidden="false" customHeight="false" outlineLevel="0" collapsed="false">
      <c r="A40" s="8" t="n">
        <v>35</v>
      </c>
      <c r="B40" s="8" t="s">
        <v>20</v>
      </c>
      <c r="C40" s="8" t="s">
        <v>143</v>
      </c>
      <c r="D40" s="30" t="s">
        <v>144</v>
      </c>
      <c r="E40" s="9" t="n">
        <v>46300</v>
      </c>
      <c r="F40" s="8" t="n">
        <v>324</v>
      </c>
      <c r="G40" s="8" t="n">
        <v>42</v>
      </c>
      <c r="H40" s="8" t="n">
        <v>366</v>
      </c>
      <c r="I40" s="34" t="n">
        <f aca="false">ROUND(F40/H40*100,0)/100</f>
        <v>0.89</v>
      </c>
      <c r="J40" s="8" t="str">
        <f aca="false">IF(I40&gt;=Summary!$L$6,"Eligible","Shortage")</f>
        <v>Eligible</v>
      </c>
      <c r="K40" s="8" t="str">
        <f aca="false">IF(I40&lt;Summary!$L$8,"YES","No")</f>
        <v>No</v>
      </c>
      <c r="L40" s="8" t="str">
        <f aca="false">IF(I40&gt;=Summary!$L$7,"Counted","Not Counted")</f>
        <v>Counted</v>
      </c>
      <c r="M40" s="13" t="n">
        <f aca="false">IF(I40&gt;=Summary!$L$6,20,ROUND(I40/Summary!$L$6*10,1)*2)</f>
        <v>20</v>
      </c>
      <c r="N40" s="35" t="n">
        <f aca="false">20-M40</f>
        <v>0</v>
      </c>
      <c r="O40" s="8" t="str">
        <f aca="false">IF(I40&gt;=Summary!$L$6,"75%+ (all benefits)",IF(I40&gt;=Summary!$L$7,"55–74%",IF(I40&gt;=Summary!$L$8,"30–54%","Below 30%")))</f>
        <v>75%+ (all benefits)</v>
      </c>
    </row>
    <row r="41" customFormat="false" ht="15" hidden="false" customHeight="false" outlineLevel="0" collapsed="false">
      <c r="A41" s="36" t="n">
        <v>36</v>
      </c>
      <c r="B41" s="36" t="s">
        <v>20</v>
      </c>
      <c r="C41" s="36" t="s">
        <v>145</v>
      </c>
      <c r="D41" s="37" t="s">
        <v>146</v>
      </c>
      <c r="E41" s="38" t="n">
        <v>46300</v>
      </c>
      <c r="F41" s="36" t="n">
        <v>281</v>
      </c>
      <c r="G41" s="36" t="n">
        <v>85</v>
      </c>
      <c r="H41" s="36" t="n">
        <v>366</v>
      </c>
      <c r="I41" s="34" t="n">
        <f aca="false">ROUND(F41/H41*100,0)/100</f>
        <v>0.77</v>
      </c>
      <c r="J41" s="8" t="str">
        <f aca="false">IF(I41&gt;=Summary!$L$6,"Eligible","Shortage")</f>
        <v>Eligible</v>
      </c>
      <c r="K41" s="8" t="str">
        <f aca="false">IF(I41&lt;Summary!$L$8,"YES","No")</f>
        <v>No</v>
      </c>
      <c r="L41" s="8" t="str">
        <f aca="false">IF(I41&gt;=Summary!$L$7,"Counted","Not Counted")</f>
        <v>Counted</v>
      </c>
      <c r="M41" s="13" t="n">
        <f aca="false">IF(I41&gt;=Summary!$L$6,20,ROUND(I41/Summary!$L$6*10,1)*2)</f>
        <v>20</v>
      </c>
      <c r="N41" s="35" t="n">
        <f aca="false">20-M41</f>
        <v>0</v>
      </c>
      <c r="O41" s="8" t="str">
        <f aca="false">IF(I41&gt;=Summary!$L$6,"75%+ (all benefits)",IF(I41&gt;=Summary!$L$7,"55–74%",IF(I41&gt;=Summary!$L$8,"30–54%","Below 30%")))</f>
        <v>75%+ (all benefits)</v>
      </c>
    </row>
    <row r="42" customFormat="false" ht="15" hidden="false" customHeight="false" outlineLevel="0" collapsed="false">
      <c r="A42" s="8" t="n">
        <v>37</v>
      </c>
      <c r="B42" s="8" t="s">
        <v>20</v>
      </c>
      <c r="C42" s="8" t="s">
        <v>147</v>
      </c>
      <c r="D42" s="30" t="s">
        <v>148</v>
      </c>
      <c r="E42" s="9" t="n">
        <v>46300</v>
      </c>
      <c r="F42" s="8" t="n">
        <v>331</v>
      </c>
      <c r="G42" s="8" t="n">
        <v>35</v>
      </c>
      <c r="H42" s="8" t="n">
        <v>366</v>
      </c>
      <c r="I42" s="34" t="n">
        <f aca="false">ROUND(F42/H42*100,0)/100</f>
        <v>0.9</v>
      </c>
      <c r="J42" s="8" t="str">
        <f aca="false">IF(I42&gt;=Summary!$L$6,"Eligible","Shortage")</f>
        <v>Eligible</v>
      </c>
      <c r="K42" s="8" t="str">
        <f aca="false">IF(I42&lt;Summary!$L$8,"YES","No")</f>
        <v>No</v>
      </c>
      <c r="L42" s="8" t="str">
        <f aca="false">IF(I42&gt;=Summary!$L$7,"Counted","Not Counted")</f>
        <v>Counted</v>
      </c>
      <c r="M42" s="13" t="n">
        <f aca="false">IF(I42&gt;=Summary!$L$6,20,ROUND(I42/Summary!$L$6*10,1)*2)</f>
        <v>20</v>
      </c>
      <c r="N42" s="35" t="n">
        <f aca="false">20-M42</f>
        <v>0</v>
      </c>
      <c r="O42" s="8" t="str">
        <f aca="false">IF(I42&gt;=Summary!$L$6,"75%+ (all benefits)",IF(I42&gt;=Summary!$L$7,"55–74%",IF(I42&gt;=Summary!$L$8,"30–54%","Below 30%")))</f>
        <v>75%+ (all benefits)</v>
      </c>
    </row>
    <row r="43" customFormat="false" ht="15" hidden="false" customHeight="false" outlineLevel="0" collapsed="false">
      <c r="A43" s="36" t="n">
        <v>38</v>
      </c>
      <c r="B43" s="36" t="s">
        <v>20</v>
      </c>
      <c r="C43" s="36" t="s">
        <v>149</v>
      </c>
      <c r="D43" s="37" t="s">
        <v>150</v>
      </c>
      <c r="E43" s="38" t="n">
        <v>46300</v>
      </c>
      <c r="F43" s="36" t="n">
        <v>292</v>
      </c>
      <c r="G43" s="36" t="n">
        <v>74</v>
      </c>
      <c r="H43" s="36" t="n">
        <v>366</v>
      </c>
      <c r="I43" s="34" t="n">
        <f aca="false">ROUND(F43/H43*100,0)/100</f>
        <v>0.8</v>
      </c>
      <c r="J43" s="8" t="str">
        <f aca="false">IF(I43&gt;=Summary!$L$6,"Eligible","Shortage")</f>
        <v>Eligible</v>
      </c>
      <c r="K43" s="8" t="str">
        <f aca="false">IF(I43&lt;Summary!$L$8,"YES","No")</f>
        <v>No</v>
      </c>
      <c r="L43" s="8" t="str">
        <f aca="false">IF(I43&gt;=Summary!$L$7,"Counted","Not Counted")</f>
        <v>Counted</v>
      </c>
      <c r="M43" s="13" t="n">
        <f aca="false">IF(I43&gt;=Summary!$L$6,20,ROUND(I43/Summary!$L$6*10,1)*2)</f>
        <v>20</v>
      </c>
      <c r="N43" s="35" t="n">
        <f aca="false">20-M43</f>
        <v>0</v>
      </c>
      <c r="O43" s="8" t="str">
        <f aca="false">IF(I43&gt;=Summary!$L$6,"75%+ (all benefits)",IF(I43&gt;=Summary!$L$7,"55–74%",IF(I43&gt;=Summary!$L$8,"30–54%","Below 30%")))</f>
        <v>75%+ (all benefits)</v>
      </c>
    </row>
    <row r="44" customFormat="false" ht="15" hidden="false" customHeight="false" outlineLevel="0" collapsed="false">
      <c r="A44" s="8" t="n">
        <v>39</v>
      </c>
      <c r="B44" s="8" t="s">
        <v>20</v>
      </c>
      <c r="C44" s="8" t="s">
        <v>151</v>
      </c>
      <c r="D44" s="30" t="s">
        <v>152</v>
      </c>
      <c r="E44" s="9" t="n">
        <v>46300</v>
      </c>
      <c r="F44" s="8" t="n">
        <v>272</v>
      </c>
      <c r="G44" s="8" t="n">
        <v>94</v>
      </c>
      <c r="H44" s="8" t="n">
        <v>366</v>
      </c>
      <c r="I44" s="34" t="n">
        <f aca="false">ROUND(F44/H44*100,0)/100</f>
        <v>0.74</v>
      </c>
      <c r="J44" s="8" t="str">
        <f aca="false">IF(I44&gt;=Summary!$L$6,"Eligible","Shortage")</f>
        <v>Shortage</v>
      </c>
      <c r="K44" s="8" t="str">
        <f aca="false">IF(I44&lt;Summary!$L$8,"YES","No")</f>
        <v>No</v>
      </c>
      <c r="L44" s="8" t="str">
        <f aca="false">IF(I44&gt;=Summary!$L$7,"Counted","Not Counted")</f>
        <v>Counted</v>
      </c>
      <c r="M44" s="13" t="n">
        <f aca="false">IF(I44&gt;=Summary!$L$6,20,ROUND(I44/Summary!$L$6*10,1)*2)</f>
        <v>19.8</v>
      </c>
      <c r="N44" s="35" t="n">
        <f aca="false">20-M44</f>
        <v>0.199999999999999</v>
      </c>
      <c r="O44" s="8" t="str">
        <f aca="false">IF(I44&gt;=Summary!$L$6,"75%+ (all benefits)",IF(I44&gt;=Summary!$L$7,"55–74%",IF(I44&gt;=Summary!$L$8,"30–54%","Below 30%")))</f>
        <v>55–74%</v>
      </c>
    </row>
    <row r="45" customFormat="false" ht="15" hidden="false" customHeight="false" outlineLevel="0" collapsed="false">
      <c r="A45" s="36" t="n">
        <v>40</v>
      </c>
      <c r="B45" s="36" t="s">
        <v>20</v>
      </c>
      <c r="C45" s="36" t="s">
        <v>153</v>
      </c>
      <c r="D45" s="37" t="s">
        <v>154</v>
      </c>
      <c r="E45" s="38" t="n">
        <v>46300</v>
      </c>
      <c r="F45" s="36" t="n">
        <v>316</v>
      </c>
      <c r="G45" s="36" t="n">
        <v>50</v>
      </c>
      <c r="H45" s="36" t="n">
        <v>366</v>
      </c>
      <c r="I45" s="34" t="n">
        <f aca="false">ROUND(F45/H45*100,0)/100</f>
        <v>0.86</v>
      </c>
      <c r="J45" s="8" t="str">
        <f aca="false">IF(I45&gt;=Summary!$L$6,"Eligible","Shortage")</f>
        <v>Eligible</v>
      </c>
      <c r="K45" s="8" t="str">
        <f aca="false">IF(I45&lt;Summary!$L$8,"YES","No")</f>
        <v>No</v>
      </c>
      <c r="L45" s="8" t="str">
        <f aca="false">IF(I45&gt;=Summary!$L$7,"Counted","Not Counted")</f>
        <v>Counted</v>
      </c>
      <c r="M45" s="13" t="n">
        <f aca="false">IF(I45&gt;=Summary!$L$6,20,ROUND(I45/Summary!$L$6*10,1)*2)</f>
        <v>20</v>
      </c>
      <c r="N45" s="35" t="n">
        <f aca="false">20-M45</f>
        <v>0</v>
      </c>
      <c r="O45" s="8" t="str">
        <f aca="false">IF(I45&gt;=Summary!$L$6,"75%+ (all benefits)",IF(I45&gt;=Summary!$L$7,"55–74%",IF(I45&gt;=Summary!$L$8,"30–54%","Below 30%")))</f>
        <v>75%+ (all benefits)</v>
      </c>
    </row>
    <row r="46" customFormat="false" ht="15" hidden="false" customHeight="false" outlineLevel="0" collapsed="false">
      <c r="A46" s="8" t="n">
        <v>41</v>
      </c>
      <c r="B46" s="8" t="s">
        <v>20</v>
      </c>
      <c r="C46" s="8" t="s">
        <v>155</v>
      </c>
      <c r="D46" s="30" t="s">
        <v>156</v>
      </c>
      <c r="E46" s="9" t="n">
        <v>46300</v>
      </c>
      <c r="F46" s="8" t="n">
        <v>223</v>
      </c>
      <c r="G46" s="8" t="n">
        <v>143</v>
      </c>
      <c r="H46" s="8" t="n">
        <v>366</v>
      </c>
      <c r="I46" s="34" t="n">
        <f aca="false">ROUND(F46/H46*100,0)/100</f>
        <v>0.61</v>
      </c>
      <c r="J46" s="8" t="str">
        <f aca="false">IF(I46&gt;=Summary!$L$6,"Eligible","Shortage")</f>
        <v>Shortage</v>
      </c>
      <c r="K46" s="8" t="str">
        <f aca="false">IF(I46&lt;Summary!$L$8,"YES","No")</f>
        <v>No</v>
      </c>
      <c r="L46" s="8" t="str">
        <f aca="false">IF(I46&gt;=Summary!$L$7,"Counted","Not Counted")</f>
        <v>Counted</v>
      </c>
      <c r="M46" s="13" t="n">
        <f aca="false">IF(I46&gt;=Summary!$L$6,20,ROUND(I46/Summary!$L$6*10,1)*2)</f>
        <v>16.2</v>
      </c>
      <c r="N46" s="35" t="n">
        <f aca="false">20-M46</f>
        <v>3.8</v>
      </c>
      <c r="O46" s="8" t="str">
        <f aca="false">IF(I46&gt;=Summary!$L$6,"75%+ (all benefits)",IF(I46&gt;=Summary!$L$7,"55–74%",IF(I46&gt;=Summary!$L$8,"30–54%","Below 30%")))</f>
        <v>55–74%</v>
      </c>
    </row>
    <row r="47" customFormat="false" ht="15" hidden="false" customHeight="false" outlineLevel="0" collapsed="false">
      <c r="A47" s="36" t="n">
        <v>42</v>
      </c>
      <c r="B47" s="36" t="s">
        <v>20</v>
      </c>
      <c r="C47" s="36" t="s">
        <v>51</v>
      </c>
      <c r="D47" s="37" t="s">
        <v>52</v>
      </c>
      <c r="E47" s="38" t="n">
        <v>46300</v>
      </c>
      <c r="F47" s="36" t="n">
        <v>53</v>
      </c>
      <c r="G47" s="36" t="n">
        <v>313</v>
      </c>
      <c r="H47" s="36" t="n">
        <v>366</v>
      </c>
      <c r="I47" s="34" t="n">
        <f aca="false">ROUND(F47/H47*100,0)/100</f>
        <v>0.14</v>
      </c>
      <c r="J47" s="8" t="str">
        <f aca="false">IF(I47&gt;=Summary!$L$6,"Eligible","Shortage")</f>
        <v>Shortage</v>
      </c>
      <c r="K47" s="8" t="str">
        <f aca="false">IF(I47&lt;Summary!$L$8,"YES","No")</f>
        <v>YES</v>
      </c>
      <c r="L47" s="8" t="str">
        <f aca="false">IF(I47&gt;=Summary!$L$7,"Counted","Not Counted")</f>
        <v>Not Counted</v>
      </c>
      <c r="M47" s="13" t="n">
        <f aca="false">IF(I47&gt;=Summary!$L$6,20,ROUND(I47/Summary!$L$6*10,1)*2)</f>
        <v>3.8</v>
      </c>
      <c r="N47" s="35" t="n">
        <f aca="false">20-M47</f>
        <v>16.2</v>
      </c>
      <c r="O47" s="8" t="str">
        <f aca="false">IF(I47&gt;=Summary!$L$6,"75%+ (all benefits)",IF(I47&gt;=Summary!$L$7,"55–74%",IF(I47&gt;=Summary!$L$8,"30–54%","Below 30%")))</f>
        <v>Below 30%</v>
      </c>
    </row>
    <row r="48" customFormat="false" ht="15" hidden="false" customHeight="false" outlineLevel="0" collapsed="false">
      <c r="A48" s="8" t="n">
        <v>43</v>
      </c>
      <c r="B48" s="8" t="s">
        <v>20</v>
      </c>
      <c r="C48" s="8" t="s">
        <v>157</v>
      </c>
      <c r="D48" s="30" t="s">
        <v>158</v>
      </c>
      <c r="E48" s="9" t="n">
        <v>46300</v>
      </c>
      <c r="F48" s="8" t="n">
        <v>208</v>
      </c>
      <c r="G48" s="8" t="n">
        <v>158</v>
      </c>
      <c r="H48" s="8" t="n">
        <v>366</v>
      </c>
      <c r="I48" s="34" t="n">
        <f aca="false">ROUND(F48/H48*100,0)/100</f>
        <v>0.57</v>
      </c>
      <c r="J48" s="8" t="str">
        <f aca="false">IF(I48&gt;=Summary!$L$6,"Eligible","Shortage")</f>
        <v>Shortage</v>
      </c>
      <c r="K48" s="8" t="str">
        <f aca="false">IF(I48&lt;Summary!$L$8,"YES","No")</f>
        <v>No</v>
      </c>
      <c r="L48" s="8" t="str">
        <f aca="false">IF(I48&gt;=Summary!$L$7,"Counted","Not Counted")</f>
        <v>Counted</v>
      </c>
      <c r="M48" s="13" t="n">
        <f aca="false">IF(I48&gt;=Summary!$L$6,20,ROUND(I48/Summary!$L$6*10,1)*2)</f>
        <v>15.2</v>
      </c>
      <c r="N48" s="35" t="n">
        <f aca="false">20-M48</f>
        <v>4.8</v>
      </c>
      <c r="O48" s="8" t="str">
        <f aca="false">IF(I48&gt;=Summary!$L$6,"75%+ (all benefits)",IF(I48&gt;=Summary!$L$7,"55–74%",IF(I48&gt;=Summary!$L$8,"30–54%","Below 30%")))</f>
        <v>55–74%</v>
      </c>
    </row>
    <row r="49" customFormat="false" ht="15" hidden="false" customHeight="false" outlineLevel="0" collapsed="false">
      <c r="A49" s="36" t="n">
        <v>44</v>
      </c>
      <c r="B49" s="36" t="s">
        <v>20</v>
      </c>
      <c r="C49" s="36" t="s">
        <v>159</v>
      </c>
      <c r="D49" s="37" t="s">
        <v>160</v>
      </c>
      <c r="E49" s="38" t="n">
        <v>46300</v>
      </c>
      <c r="F49" s="36" t="n">
        <v>319</v>
      </c>
      <c r="G49" s="36" t="n">
        <v>47</v>
      </c>
      <c r="H49" s="36" t="n">
        <v>366</v>
      </c>
      <c r="I49" s="34" t="n">
        <f aca="false">ROUND(F49/H49*100,0)/100</f>
        <v>0.87</v>
      </c>
      <c r="J49" s="8" t="str">
        <f aca="false">IF(I49&gt;=Summary!$L$6,"Eligible","Shortage")</f>
        <v>Eligible</v>
      </c>
      <c r="K49" s="8" t="str">
        <f aca="false">IF(I49&lt;Summary!$L$8,"YES","No")</f>
        <v>No</v>
      </c>
      <c r="L49" s="8" t="str">
        <f aca="false">IF(I49&gt;=Summary!$L$7,"Counted","Not Counted")</f>
        <v>Counted</v>
      </c>
      <c r="M49" s="13" t="n">
        <f aca="false">IF(I49&gt;=Summary!$L$6,20,ROUND(I49/Summary!$L$6*10,1)*2)</f>
        <v>20</v>
      </c>
      <c r="N49" s="35" t="n">
        <f aca="false">20-M49</f>
        <v>0</v>
      </c>
      <c r="O49" s="8" t="str">
        <f aca="false">IF(I49&gt;=Summary!$L$6,"75%+ (all benefits)",IF(I49&gt;=Summary!$L$7,"55–74%",IF(I49&gt;=Summary!$L$8,"30–54%","Below 30%")))</f>
        <v>75%+ (all benefits)</v>
      </c>
    </row>
    <row r="50" customFormat="false" ht="15" hidden="false" customHeight="false" outlineLevel="0" collapsed="false">
      <c r="A50" s="8" t="n">
        <v>45</v>
      </c>
      <c r="B50" s="8" t="s">
        <v>20</v>
      </c>
      <c r="C50" s="8" t="s">
        <v>161</v>
      </c>
      <c r="D50" s="30" t="s">
        <v>162</v>
      </c>
      <c r="E50" s="9" t="n">
        <v>46300</v>
      </c>
      <c r="F50" s="8" t="n">
        <v>304</v>
      </c>
      <c r="G50" s="8" t="n">
        <v>62</v>
      </c>
      <c r="H50" s="8" t="n">
        <v>366</v>
      </c>
      <c r="I50" s="34" t="n">
        <f aca="false">ROUND(F50/H50*100,0)/100</f>
        <v>0.83</v>
      </c>
      <c r="J50" s="8" t="str">
        <f aca="false">IF(I50&gt;=Summary!$L$6,"Eligible","Shortage")</f>
        <v>Eligible</v>
      </c>
      <c r="K50" s="8" t="str">
        <f aca="false">IF(I50&lt;Summary!$L$8,"YES","No")</f>
        <v>No</v>
      </c>
      <c r="L50" s="8" t="str">
        <f aca="false">IF(I50&gt;=Summary!$L$7,"Counted","Not Counted")</f>
        <v>Counted</v>
      </c>
      <c r="M50" s="13" t="n">
        <f aca="false">IF(I50&gt;=Summary!$L$6,20,ROUND(I50/Summary!$L$6*10,1)*2)</f>
        <v>20</v>
      </c>
      <c r="N50" s="35" t="n">
        <f aca="false">20-M50</f>
        <v>0</v>
      </c>
      <c r="O50" s="8" t="str">
        <f aca="false">IF(I50&gt;=Summary!$L$6,"75%+ (all benefits)",IF(I50&gt;=Summary!$L$7,"55–74%",IF(I50&gt;=Summary!$L$8,"30–54%","Below 30%")))</f>
        <v>75%+ (all benefits)</v>
      </c>
    </row>
    <row r="51" customFormat="false" ht="15" hidden="false" customHeight="false" outlineLevel="0" collapsed="false">
      <c r="A51" s="36" t="n">
        <v>46</v>
      </c>
      <c r="B51" s="36" t="s">
        <v>20</v>
      </c>
      <c r="C51" s="36" t="s">
        <v>163</v>
      </c>
      <c r="D51" s="37" t="s">
        <v>164</v>
      </c>
      <c r="E51" s="38" t="n">
        <v>46300</v>
      </c>
      <c r="F51" s="36" t="n">
        <v>339</v>
      </c>
      <c r="G51" s="36" t="n">
        <v>27</v>
      </c>
      <c r="H51" s="36" t="n">
        <v>366</v>
      </c>
      <c r="I51" s="34" t="n">
        <f aca="false">ROUND(F51/H51*100,0)/100</f>
        <v>0.93</v>
      </c>
      <c r="J51" s="8" t="str">
        <f aca="false">IF(I51&gt;=Summary!$L$6,"Eligible","Shortage")</f>
        <v>Eligible</v>
      </c>
      <c r="K51" s="8" t="str">
        <f aca="false">IF(I51&lt;Summary!$L$8,"YES","No")</f>
        <v>No</v>
      </c>
      <c r="L51" s="8" t="str">
        <f aca="false">IF(I51&gt;=Summary!$L$7,"Counted","Not Counted")</f>
        <v>Counted</v>
      </c>
      <c r="M51" s="13" t="n">
        <f aca="false">IF(I51&gt;=Summary!$L$6,20,ROUND(I51/Summary!$L$6*10,1)*2)</f>
        <v>20</v>
      </c>
      <c r="N51" s="35" t="n">
        <f aca="false">20-M51</f>
        <v>0</v>
      </c>
      <c r="O51" s="8" t="str">
        <f aca="false">IF(I51&gt;=Summary!$L$6,"75%+ (all benefits)",IF(I51&gt;=Summary!$L$7,"55–74%",IF(I51&gt;=Summary!$L$8,"30–54%","Below 30%")))</f>
        <v>75%+ (all benefits)</v>
      </c>
    </row>
    <row r="52" customFormat="false" ht="15" hidden="false" customHeight="false" outlineLevel="0" collapsed="false">
      <c r="A52" s="8" t="n">
        <v>47</v>
      </c>
      <c r="B52" s="8" t="s">
        <v>20</v>
      </c>
      <c r="C52" s="8" t="s">
        <v>165</v>
      </c>
      <c r="D52" s="30" t="s">
        <v>166</v>
      </c>
      <c r="E52" s="9" t="n">
        <v>46300</v>
      </c>
      <c r="F52" s="8" t="n">
        <v>294</v>
      </c>
      <c r="G52" s="8" t="n">
        <v>72</v>
      </c>
      <c r="H52" s="8" t="n">
        <v>366</v>
      </c>
      <c r="I52" s="34" t="n">
        <f aca="false">ROUND(F52/H52*100,0)/100</f>
        <v>0.8</v>
      </c>
      <c r="J52" s="8" t="str">
        <f aca="false">IF(I52&gt;=Summary!$L$6,"Eligible","Shortage")</f>
        <v>Eligible</v>
      </c>
      <c r="K52" s="8" t="str">
        <f aca="false">IF(I52&lt;Summary!$L$8,"YES","No")</f>
        <v>No</v>
      </c>
      <c r="L52" s="8" t="str">
        <f aca="false">IF(I52&gt;=Summary!$L$7,"Counted","Not Counted")</f>
        <v>Counted</v>
      </c>
      <c r="M52" s="13" t="n">
        <f aca="false">IF(I52&gt;=Summary!$L$6,20,ROUND(I52/Summary!$L$6*10,1)*2)</f>
        <v>20</v>
      </c>
      <c r="N52" s="35" t="n">
        <f aca="false">20-M52</f>
        <v>0</v>
      </c>
      <c r="O52" s="8" t="str">
        <f aca="false">IF(I52&gt;=Summary!$L$6,"75%+ (all benefits)",IF(I52&gt;=Summary!$L$7,"55–74%",IF(I52&gt;=Summary!$L$8,"30–54%","Below 30%")))</f>
        <v>75%+ (all benefits)</v>
      </c>
    </row>
    <row r="53" customFormat="false" ht="15" hidden="false" customHeight="false" outlineLevel="0" collapsed="false">
      <c r="A53" s="36" t="n">
        <v>48</v>
      </c>
      <c r="B53" s="36" t="s">
        <v>20</v>
      </c>
      <c r="C53" s="36" t="s">
        <v>167</v>
      </c>
      <c r="D53" s="37" t="s">
        <v>168</v>
      </c>
      <c r="E53" s="38" t="n">
        <v>46300</v>
      </c>
      <c r="F53" s="36" t="n">
        <v>276</v>
      </c>
      <c r="G53" s="36" t="n">
        <v>88</v>
      </c>
      <c r="H53" s="36" t="n">
        <v>364</v>
      </c>
      <c r="I53" s="34" t="n">
        <f aca="false">ROUND(F53/H53*100,0)/100</f>
        <v>0.76</v>
      </c>
      <c r="J53" s="8" t="str">
        <f aca="false">IF(I53&gt;=Summary!$L$6,"Eligible","Shortage")</f>
        <v>Eligible</v>
      </c>
      <c r="K53" s="8" t="str">
        <f aca="false">IF(I53&lt;Summary!$L$8,"YES","No")</f>
        <v>No</v>
      </c>
      <c r="L53" s="8" t="str">
        <f aca="false">IF(I53&gt;=Summary!$L$7,"Counted","Not Counted")</f>
        <v>Counted</v>
      </c>
      <c r="M53" s="13" t="n">
        <f aca="false">IF(I53&gt;=Summary!$L$6,20,ROUND(I53/Summary!$L$6*10,1)*2)</f>
        <v>20</v>
      </c>
      <c r="N53" s="35" t="n">
        <f aca="false">20-M53</f>
        <v>0</v>
      </c>
      <c r="O53" s="8" t="str">
        <f aca="false">IF(I53&gt;=Summary!$L$6,"75%+ (all benefits)",IF(I53&gt;=Summary!$L$7,"55–74%",IF(I53&gt;=Summary!$L$8,"30–54%","Below 30%")))</f>
        <v>75%+ (all benefits)</v>
      </c>
    </row>
    <row r="54" customFormat="false" ht="15" hidden="false" customHeight="false" outlineLevel="0" collapsed="false">
      <c r="A54" s="8" t="n">
        <v>49</v>
      </c>
      <c r="B54" s="8" t="s">
        <v>20</v>
      </c>
      <c r="C54" s="8" t="s">
        <v>169</v>
      </c>
      <c r="D54" s="30" t="s">
        <v>170</v>
      </c>
      <c r="E54" s="9" t="n">
        <v>46300</v>
      </c>
      <c r="F54" s="8" t="n">
        <v>291</v>
      </c>
      <c r="G54" s="8" t="n">
        <v>75</v>
      </c>
      <c r="H54" s="8" t="n">
        <v>366</v>
      </c>
      <c r="I54" s="34" t="n">
        <f aca="false">ROUND(F54/H54*100,0)/100</f>
        <v>0.8</v>
      </c>
      <c r="J54" s="8" t="str">
        <f aca="false">IF(I54&gt;=Summary!$L$6,"Eligible","Shortage")</f>
        <v>Eligible</v>
      </c>
      <c r="K54" s="8" t="str">
        <f aca="false">IF(I54&lt;Summary!$L$8,"YES","No")</f>
        <v>No</v>
      </c>
      <c r="L54" s="8" t="str">
        <f aca="false">IF(I54&gt;=Summary!$L$7,"Counted","Not Counted")</f>
        <v>Counted</v>
      </c>
      <c r="M54" s="13" t="n">
        <f aca="false">IF(I54&gt;=Summary!$L$6,20,ROUND(I54/Summary!$L$6*10,1)*2)</f>
        <v>20</v>
      </c>
      <c r="N54" s="35" t="n">
        <f aca="false">20-M54</f>
        <v>0</v>
      </c>
      <c r="O54" s="8" t="str">
        <f aca="false">IF(I54&gt;=Summary!$L$6,"75%+ (all benefits)",IF(I54&gt;=Summary!$L$7,"55–74%",IF(I54&gt;=Summary!$L$8,"30–54%","Below 30%")))</f>
        <v>75%+ (all benefits)</v>
      </c>
    </row>
    <row r="55" customFormat="false" ht="15" hidden="false" customHeight="false" outlineLevel="0" collapsed="false">
      <c r="A55" s="36" t="n">
        <v>50</v>
      </c>
      <c r="B55" s="36" t="s">
        <v>20</v>
      </c>
      <c r="C55" s="36" t="s">
        <v>171</v>
      </c>
      <c r="D55" s="37" t="s">
        <v>172</v>
      </c>
      <c r="E55" s="38" t="n">
        <v>46300</v>
      </c>
      <c r="F55" s="36" t="n">
        <v>209</v>
      </c>
      <c r="G55" s="36" t="n">
        <v>157</v>
      </c>
      <c r="H55" s="36" t="n">
        <v>366</v>
      </c>
      <c r="I55" s="34" t="n">
        <f aca="false">ROUND(F55/H55*100,0)/100</f>
        <v>0.57</v>
      </c>
      <c r="J55" s="8" t="str">
        <f aca="false">IF(I55&gt;=Summary!$L$6,"Eligible","Shortage")</f>
        <v>Shortage</v>
      </c>
      <c r="K55" s="8" t="str">
        <f aca="false">IF(I55&lt;Summary!$L$8,"YES","No")</f>
        <v>No</v>
      </c>
      <c r="L55" s="8" t="str">
        <f aca="false">IF(I55&gt;=Summary!$L$7,"Counted","Not Counted")</f>
        <v>Counted</v>
      </c>
      <c r="M55" s="13" t="n">
        <f aca="false">IF(I55&gt;=Summary!$L$6,20,ROUND(I55/Summary!$L$6*10,1)*2)</f>
        <v>15.2</v>
      </c>
      <c r="N55" s="35" t="n">
        <f aca="false">20-M55</f>
        <v>4.8</v>
      </c>
      <c r="O55" s="8" t="str">
        <f aca="false">IF(I55&gt;=Summary!$L$6,"75%+ (all benefits)",IF(I55&gt;=Summary!$L$7,"55–74%",IF(I55&gt;=Summary!$L$8,"30–54%","Below 30%")))</f>
        <v>55–74%</v>
      </c>
    </row>
    <row r="56" customFormat="false" ht="15" hidden="false" customHeight="false" outlineLevel="0" collapsed="false">
      <c r="A56" s="8" t="n">
        <v>51</v>
      </c>
      <c r="B56" s="8" t="s">
        <v>20</v>
      </c>
      <c r="C56" s="8" t="s">
        <v>173</v>
      </c>
      <c r="D56" s="30" t="s">
        <v>174</v>
      </c>
      <c r="E56" s="9" t="n">
        <v>46300</v>
      </c>
      <c r="F56" s="8" t="n">
        <v>305</v>
      </c>
      <c r="G56" s="8" t="n">
        <v>61</v>
      </c>
      <c r="H56" s="8" t="n">
        <v>366</v>
      </c>
      <c r="I56" s="34" t="n">
        <f aca="false">ROUND(F56/H56*100,0)/100</f>
        <v>0.83</v>
      </c>
      <c r="J56" s="8" t="str">
        <f aca="false">IF(I56&gt;=Summary!$L$6,"Eligible","Shortage")</f>
        <v>Eligible</v>
      </c>
      <c r="K56" s="8" t="str">
        <f aca="false">IF(I56&lt;Summary!$L$8,"YES","No")</f>
        <v>No</v>
      </c>
      <c r="L56" s="8" t="str">
        <f aca="false">IF(I56&gt;=Summary!$L$7,"Counted","Not Counted")</f>
        <v>Counted</v>
      </c>
      <c r="M56" s="13" t="n">
        <f aca="false">IF(I56&gt;=Summary!$L$6,20,ROUND(I56/Summary!$L$6*10,1)*2)</f>
        <v>20</v>
      </c>
      <c r="N56" s="35" t="n">
        <f aca="false">20-M56</f>
        <v>0</v>
      </c>
      <c r="O56" s="8" t="str">
        <f aca="false">IF(I56&gt;=Summary!$L$6,"75%+ (all benefits)",IF(I56&gt;=Summary!$L$7,"55–74%",IF(I56&gt;=Summary!$L$8,"30–54%","Below 30%")))</f>
        <v>75%+ (all benefits)</v>
      </c>
    </row>
    <row r="57" customFormat="false" ht="15" hidden="false" customHeight="false" outlineLevel="0" collapsed="false">
      <c r="A57" s="36" t="n">
        <v>52</v>
      </c>
      <c r="B57" s="36" t="s">
        <v>20</v>
      </c>
      <c r="C57" s="36" t="s">
        <v>175</v>
      </c>
      <c r="D57" s="37" t="s">
        <v>176</v>
      </c>
      <c r="E57" s="38" t="n">
        <v>46300</v>
      </c>
      <c r="F57" s="36" t="n">
        <v>266</v>
      </c>
      <c r="G57" s="36" t="n">
        <v>100</v>
      </c>
      <c r="H57" s="36" t="n">
        <v>366</v>
      </c>
      <c r="I57" s="34" t="n">
        <f aca="false">ROUND(F57/H57*100,0)/100</f>
        <v>0.73</v>
      </c>
      <c r="J57" s="8" t="str">
        <f aca="false">IF(I57&gt;=Summary!$L$6,"Eligible","Shortage")</f>
        <v>Shortage</v>
      </c>
      <c r="K57" s="8" t="str">
        <f aca="false">IF(I57&lt;Summary!$L$8,"YES","No")</f>
        <v>No</v>
      </c>
      <c r="L57" s="8" t="str">
        <f aca="false">IF(I57&gt;=Summary!$L$7,"Counted","Not Counted")</f>
        <v>Counted</v>
      </c>
      <c r="M57" s="13" t="n">
        <f aca="false">IF(I57&gt;=Summary!$L$6,20,ROUND(I57/Summary!$L$6*10,1)*2)</f>
        <v>19.4</v>
      </c>
      <c r="N57" s="35" t="n">
        <f aca="false">20-M57</f>
        <v>0.600000000000001</v>
      </c>
      <c r="O57" s="8" t="str">
        <f aca="false">IF(I57&gt;=Summary!$L$6,"75%+ (all benefits)",IF(I57&gt;=Summary!$L$7,"55–74%",IF(I57&gt;=Summary!$L$8,"30–54%","Below 30%")))</f>
        <v>55–74%</v>
      </c>
    </row>
    <row r="58" customFormat="false" ht="15" hidden="false" customHeight="false" outlineLevel="0" collapsed="false">
      <c r="A58" s="8" t="n">
        <v>53</v>
      </c>
      <c r="B58" s="8" t="s">
        <v>20</v>
      </c>
      <c r="C58" s="8" t="s">
        <v>177</v>
      </c>
      <c r="D58" s="30" t="s">
        <v>178</v>
      </c>
      <c r="E58" s="9" t="n">
        <v>46300</v>
      </c>
      <c r="F58" s="8" t="n">
        <v>220</v>
      </c>
      <c r="G58" s="8" t="n">
        <v>146</v>
      </c>
      <c r="H58" s="8" t="n">
        <v>366</v>
      </c>
      <c r="I58" s="34" t="n">
        <f aca="false">ROUND(F58/H58*100,0)/100</f>
        <v>0.6</v>
      </c>
      <c r="J58" s="8" t="str">
        <f aca="false">IF(I58&gt;=Summary!$L$6,"Eligible","Shortage")</f>
        <v>Shortage</v>
      </c>
      <c r="K58" s="8" t="str">
        <f aca="false">IF(I58&lt;Summary!$L$8,"YES","No")</f>
        <v>No</v>
      </c>
      <c r="L58" s="8" t="str">
        <f aca="false">IF(I58&gt;=Summary!$L$7,"Counted","Not Counted")</f>
        <v>Counted</v>
      </c>
      <c r="M58" s="13" t="n">
        <f aca="false">IF(I58&gt;=Summary!$L$6,20,ROUND(I58/Summary!$L$6*10,1)*2)</f>
        <v>16</v>
      </c>
      <c r="N58" s="35" t="n">
        <f aca="false">20-M58</f>
        <v>4</v>
      </c>
      <c r="O58" s="8" t="str">
        <f aca="false">IF(I58&gt;=Summary!$L$6,"75%+ (all benefits)",IF(I58&gt;=Summary!$L$7,"55–74%",IF(I58&gt;=Summary!$L$8,"30–54%","Below 30%")))</f>
        <v>55–74%</v>
      </c>
    </row>
    <row r="59" customFormat="false" ht="15" hidden="false" customHeight="false" outlineLevel="0" collapsed="false">
      <c r="A59" s="36" t="n">
        <v>54</v>
      </c>
      <c r="B59" s="36" t="s">
        <v>20</v>
      </c>
      <c r="C59" s="36" t="s">
        <v>179</v>
      </c>
      <c r="D59" s="37" t="s">
        <v>180</v>
      </c>
      <c r="E59" s="38" t="n">
        <v>46300</v>
      </c>
      <c r="F59" s="36" t="n">
        <v>272</v>
      </c>
      <c r="G59" s="36" t="n">
        <v>94</v>
      </c>
      <c r="H59" s="36" t="n">
        <v>366</v>
      </c>
      <c r="I59" s="34" t="n">
        <f aca="false">ROUND(F59/H59*100,0)/100</f>
        <v>0.74</v>
      </c>
      <c r="J59" s="8" t="str">
        <f aca="false">IF(I59&gt;=Summary!$L$6,"Eligible","Shortage")</f>
        <v>Shortage</v>
      </c>
      <c r="K59" s="8" t="str">
        <f aca="false">IF(I59&lt;Summary!$L$8,"YES","No")</f>
        <v>No</v>
      </c>
      <c r="L59" s="8" t="str">
        <f aca="false">IF(I59&gt;=Summary!$L$7,"Counted","Not Counted")</f>
        <v>Counted</v>
      </c>
      <c r="M59" s="13" t="n">
        <f aca="false">IF(I59&gt;=Summary!$L$6,20,ROUND(I59/Summary!$L$6*10,1)*2)</f>
        <v>19.8</v>
      </c>
      <c r="N59" s="35" t="n">
        <f aca="false">20-M59</f>
        <v>0.199999999999999</v>
      </c>
      <c r="O59" s="8" t="str">
        <f aca="false">IF(I59&gt;=Summary!$L$6,"75%+ (all benefits)",IF(I59&gt;=Summary!$L$7,"55–74%",IF(I59&gt;=Summary!$L$8,"30–54%","Below 30%")))</f>
        <v>55–74%</v>
      </c>
    </row>
    <row r="60" customFormat="false" ht="15" hidden="false" customHeight="false" outlineLevel="0" collapsed="false">
      <c r="A60" s="8" t="n">
        <v>55</v>
      </c>
      <c r="B60" s="8" t="s">
        <v>20</v>
      </c>
      <c r="C60" s="8" t="s">
        <v>47</v>
      </c>
      <c r="D60" s="30" t="s">
        <v>48</v>
      </c>
      <c r="E60" s="9" t="n">
        <v>46300</v>
      </c>
      <c r="F60" s="8" t="n">
        <v>43</v>
      </c>
      <c r="G60" s="8" t="n">
        <v>323</v>
      </c>
      <c r="H60" s="8" t="n">
        <v>366</v>
      </c>
      <c r="I60" s="34" t="n">
        <f aca="false">ROUND(F60/H60*100,0)/100</f>
        <v>0.12</v>
      </c>
      <c r="J60" s="8" t="str">
        <f aca="false">IF(I60&gt;=Summary!$L$6,"Eligible","Shortage")</f>
        <v>Shortage</v>
      </c>
      <c r="K60" s="8" t="str">
        <f aca="false">IF(I60&lt;Summary!$L$8,"YES","No")</f>
        <v>YES</v>
      </c>
      <c r="L60" s="8" t="str">
        <f aca="false">IF(I60&gt;=Summary!$L$7,"Counted","Not Counted")</f>
        <v>Not Counted</v>
      </c>
      <c r="M60" s="13" t="n">
        <f aca="false">IF(I60&gt;=Summary!$L$6,20,ROUND(I60/Summary!$L$6*10,1)*2)</f>
        <v>3.2</v>
      </c>
      <c r="N60" s="35" t="n">
        <f aca="false">20-M60</f>
        <v>16.8</v>
      </c>
      <c r="O60" s="8" t="str">
        <f aca="false">IF(I60&gt;=Summary!$L$6,"75%+ (all benefits)",IF(I60&gt;=Summary!$L$7,"55–74%",IF(I60&gt;=Summary!$L$8,"30–54%","Below 30%")))</f>
        <v>Below 30%</v>
      </c>
    </row>
    <row r="61" customFormat="false" ht="15" hidden="false" customHeight="false" outlineLevel="0" collapsed="false">
      <c r="A61" s="36" t="n">
        <v>56</v>
      </c>
      <c r="B61" s="36" t="s">
        <v>20</v>
      </c>
      <c r="C61" s="36" t="s">
        <v>181</v>
      </c>
      <c r="D61" s="37" t="s">
        <v>182</v>
      </c>
      <c r="E61" s="38" t="n">
        <v>46300</v>
      </c>
      <c r="F61" s="36" t="n">
        <v>318</v>
      </c>
      <c r="G61" s="36" t="n">
        <v>48</v>
      </c>
      <c r="H61" s="36" t="n">
        <v>366</v>
      </c>
      <c r="I61" s="34" t="n">
        <f aca="false">ROUND(F61/H61*100,0)/100</f>
        <v>0.87</v>
      </c>
      <c r="J61" s="8" t="str">
        <f aca="false">IF(I61&gt;=Summary!$L$6,"Eligible","Shortage")</f>
        <v>Eligible</v>
      </c>
      <c r="K61" s="8" t="str">
        <f aca="false">IF(I61&lt;Summary!$L$8,"YES","No")</f>
        <v>No</v>
      </c>
      <c r="L61" s="8" t="str">
        <f aca="false">IF(I61&gt;=Summary!$L$7,"Counted","Not Counted")</f>
        <v>Counted</v>
      </c>
      <c r="M61" s="13" t="n">
        <f aca="false">IF(I61&gt;=Summary!$L$6,20,ROUND(I61/Summary!$L$6*10,1)*2)</f>
        <v>20</v>
      </c>
      <c r="N61" s="35" t="n">
        <f aca="false">20-M61</f>
        <v>0</v>
      </c>
      <c r="O61" s="8" t="str">
        <f aca="false">IF(I61&gt;=Summary!$L$6,"75%+ (all benefits)",IF(I61&gt;=Summary!$L$7,"55–74%",IF(I61&gt;=Summary!$L$8,"30–54%","Below 30%")))</f>
        <v>75%+ (all benefits)</v>
      </c>
    </row>
    <row r="62" customFormat="false" ht="15" hidden="false" customHeight="false" outlineLevel="0" collapsed="false">
      <c r="A62" s="8" t="n">
        <v>57</v>
      </c>
      <c r="B62" s="8" t="s">
        <v>20</v>
      </c>
      <c r="C62" s="8" t="s">
        <v>183</v>
      </c>
      <c r="D62" s="30" t="s">
        <v>184</v>
      </c>
      <c r="E62" s="9" t="n">
        <v>46300</v>
      </c>
      <c r="F62" s="8" t="n">
        <v>179</v>
      </c>
      <c r="G62" s="8" t="n">
        <v>187</v>
      </c>
      <c r="H62" s="8" t="n">
        <v>366</v>
      </c>
      <c r="I62" s="34" t="n">
        <f aca="false">ROUND(F62/H62*100,0)/100</f>
        <v>0.49</v>
      </c>
      <c r="J62" s="8" t="str">
        <f aca="false">IF(I62&gt;=Summary!$L$6,"Eligible","Shortage")</f>
        <v>Shortage</v>
      </c>
      <c r="K62" s="8" t="str">
        <f aca="false">IF(I62&lt;Summary!$L$8,"YES","No")</f>
        <v>No</v>
      </c>
      <c r="L62" s="8" t="str">
        <f aca="false">IF(I62&gt;=Summary!$L$7,"Counted","Not Counted")</f>
        <v>Not Counted</v>
      </c>
      <c r="M62" s="13" t="n">
        <f aca="false">IF(I62&gt;=Summary!$L$6,20,ROUND(I62/Summary!$L$6*10,1)*2)</f>
        <v>13</v>
      </c>
      <c r="N62" s="35" t="n">
        <f aca="false">20-M62</f>
        <v>7</v>
      </c>
      <c r="O62" s="8" t="str">
        <f aca="false">IF(I62&gt;=Summary!$L$6,"75%+ (all benefits)",IF(I62&gt;=Summary!$L$7,"55–74%",IF(I62&gt;=Summary!$L$8,"30–54%","Below 30%")))</f>
        <v>30–54%</v>
      </c>
    </row>
    <row r="63" customFormat="false" ht="15" hidden="false" customHeight="false" outlineLevel="0" collapsed="false">
      <c r="A63" s="36" t="n">
        <v>58</v>
      </c>
      <c r="B63" s="36" t="s">
        <v>20</v>
      </c>
      <c r="C63" s="36" t="s">
        <v>185</v>
      </c>
      <c r="D63" s="37" t="s">
        <v>186</v>
      </c>
      <c r="E63" s="38" t="n">
        <v>46300</v>
      </c>
      <c r="F63" s="36" t="n">
        <v>327</v>
      </c>
      <c r="G63" s="36" t="n">
        <v>54</v>
      </c>
      <c r="H63" s="36" t="n">
        <v>381</v>
      </c>
      <c r="I63" s="34" t="n">
        <f aca="false">ROUND(F63/H63*100,0)/100</f>
        <v>0.86</v>
      </c>
      <c r="J63" s="8" t="str">
        <f aca="false">IF(I63&gt;=Summary!$L$6,"Eligible","Shortage")</f>
        <v>Eligible</v>
      </c>
      <c r="K63" s="8" t="str">
        <f aca="false">IF(I63&lt;Summary!$L$8,"YES","No")</f>
        <v>No</v>
      </c>
      <c r="L63" s="8" t="str">
        <f aca="false">IF(I63&gt;=Summary!$L$7,"Counted","Not Counted")</f>
        <v>Counted</v>
      </c>
      <c r="M63" s="13" t="n">
        <f aca="false">IF(I63&gt;=Summary!$L$6,20,ROUND(I63/Summary!$L$6*10,1)*2)</f>
        <v>20</v>
      </c>
      <c r="N63" s="35" t="n">
        <f aca="false">20-M63</f>
        <v>0</v>
      </c>
      <c r="O63" s="8" t="str">
        <f aca="false">IF(I63&gt;=Summary!$L$6,"75%+ (all benefits)",IF(I63&gt;=Summary!$L$7,"55–74%",IF(I63&gt;=Summary!$L$8,"30–54%","Below 30%")))</f>
        <v>75%+ (all benefits)</v>
      </c>
    </row>
    <row r="64" customFormat="false" ht="15" hidden="false" customHeight="false" outlineLevel="0" collapsed="false">
      <c r="A64" s="8" t="n">
        <v>59</v>
      </c>
      <c r="B64" s="8" t="s">
        <v>20</v>
      </c>
      <c r="C64" s="8" t="s">
        <v>187</v>
      </c>
      <c r="D64" s="30" t="s">
        <v>188</v>
      </c>
      <c r="E64" s="9" t="n">
        <v>46300</v>
      </c>
      <c r="F64" s="8" t="n">
        <v>315</v>
      </c>
      <c r="G64" s="8" t="n">
        <v>51</v>
      </c>
      <c r="H64" s="8" t="n">
        <v>366</v>
      </c>
      <c r="I64" s="34" t="n">
        <f aca="false">ROUND(F64/H64*100,0)/100</f>
        <v>0.86</v>
      </c>
      <c r="J64" s="8" t="str">
        <f aca="false">IF(I64&gt;=Summary!$L$6,"Eligible","Shortage")</f>
        <v>Eligible</v>
      </c>
      <c r="K64" s="8" t="str">
        <f aca="false">IF(I64&lt;Summary!$L$8,"YES","No")</f>
        <v>No</v>
      </c>
      <c r="L64" s="8" t="str">
        <f aca="false">IF(I64&gt;=Summary!$L$7,"Counted","Not Counted")</f>
        <v>Counted</v>
      </c>
      <c r="M64" s="13" t="n">
        <f aca="false">IF(I64&gt;=Summary!$L$6,20,ROUND(I64/Summary!$L$6*10,1)*2)</f>
        <v>20</v>
      </c>
      <c r="N64" s="35" t="n">
        <f aca="false">20-M64</f>
        <v>0</v>
      </c>
      <c r="O64" s="8" t="str">
        <f aca="false">IF(I64&gt;=Summary!$L$6,"75%+ (all benefits)",IF(I64&gt;=Summary!$L$7,"55–74%",IF(I64&gt;=Summary!$L$8,"30–54%","Below 30%")))</f>
        <v>75%+ (all benefits)</v>
      </c>
    </row>
    <row r="65" customFormat="false" ht="15" hidden="false" customHeight="false" outlineLevel="0" collapsed="false">
      <c r="A65" s="36" t="n">
        <v>60</v>
      </c>
      <c r="B65" s="36" t="s">
        <v>20</v>
      </c>
      <c r="C65" s="36" t="s">
        <v>189</v>
      </c>
      <c r="D65" s="37" t="s">
        <v>190</v>
      </c>
      <c r="E65" s="38" t="n">
        <v>46300</v>
      </c>
      <c r="F65" s="36" t="n">
        <v>306</v>
      </c>
      <c r="G65" s="36" t="n">
        <v>60</v>
      </c>
      <c r="H65" s="36" t="n">
        <v>366</v>
      </c>
      <c r="I65" s="34" t="n">
        <f aca="false">ROUND(F65/H65*100,0)/100</f>
        <v>0.84</v>
      </c>
      <c r="J65" s="8" t="str">
        <f aca="false">IF(I65&gt;=Summary!$L$6,"Eligible","Shortage")</f>
        <v>Eligible</v>
      </c>
      <c r="K65" s="8" t="str">
        <f aca="false">IF(I65&lt;Summary!$L$8,"YES","No")</f>
        <v>No</v>
      </c>
      <c r="L65" s="8" t="str">
        <f aca="false">IF(I65&gt;=Summary!$L$7,"Counted","Not Counted")</f>
        <v>Counted</v>
      </c>
      <c r="M65" s="13" t="n">
        <f aca="false">IF(I65&gt;=Summary!$L$6,20,ROUND(I65/Summary!$L$6*10,1)*2)</f>
        <v>20</v>
      </c>
      <c r="N65" s="35" t="n">
        <f aca="false">20-M65</f>
        <v>0</v>
      </c>
      <c r="O65" s="8" t="str">
        <f aca="false">IF(I65&gt;=Summary!$L$6,"75%+ (all benefits)",IF(I65&gt;=Summary!$L$7,"55–74%",IF(I65&gt;=Summary!$L$8,"30–54%","Below 30%")))</f>
        <v>75%+ (all benefits)</v>
      </c>
    </row>
    <row r="66" customFormat="false" ht="15" hidden="false" customHeight="false" outlineLevel="0" collapsed="false">
      <c r="A66" s="8" t="n">
        <v>61</v>
      </c>
      <c r="B66" s="8" t="s">
        <v>20</v>
      </c>
      <c r="C66" s="8" t="s">
        <v>191</v>
      </c>
      <c r="D66" s="30" t="s">
        <v>192</v>
      </c>
      <c r="E66" s="9" t="n">
        <v>46300</v>
      </c>
      <c r="F66" s="8" t="n">
        <v>330</v>
      </c>
      <c r="G66" s="8" t="n">
        <v>36</v>
      </c>
      <c r="H66" s="8" t="n">
        <v>366</v>
      </c>
      <c r="I66" s="34" t="n">
        <f aca="false">ROUND(F66/H66*100,0)/100</f>
        <v>0.9</v>
      </c>
      <c r="J66" s="8" t="str">
        <f aca="false">IF(I66&gt;=Summary!$L$6,"Eligible","Shortage")</f>
        <v>Eligible</v>
      </c>
      <c r="K66" s="8" t="str">
        <f aca="false">IF(I66&lt;Summary!$L$8,"YES","No")</f>
        <v>No</v>
      </c>
      <c r="L66" s="8" t="str">
        <f aca="false">IF(I66&gt;=Summary!$L$7,"Counted","Not Counted")</f>
        <v>Counted</v>
      </c>
      <c r="M66" s="13" t="n">
        <f aca="false">IF(I66&gt;=Summary!$L$6,20,ROUND(I66/Summary!$L$6*10,1)*2)</f>
        <v>20</v>
      </c>
      <c r="N66" s="35" t="n">
        <f aca="false">20-M66</f>
        <v>0</v>
      </c>
      <c r="O66" s="8" t="str">
        <f aca="false">IF(I66&gt;=Summary!$L$6,"75%+ (all benefits)",IF(I66&gt;=Summary!$L$7,"55–74%",IF(I66&gt;=Summary!$L$8,"30–54%","Below 30%")))</f>
        <v>75%+ (all benefits)</v>
      </c>
    </row>
    <row r="67" customFormat="false" ht="15" hidden="false" customHeight="false" outlineLevel="0" collapsed="false">
      <c r="A67" s="36" t="n">
        <v>62</v>
      </c>
      <c r="B67" s="36" t="s">
        <v>20</v>
      </c>
      <c r="C67" s="36" t="s">
        <v>193</v>
      </c>
      <c r="D67" s="37" t="s">
        <v>194</v>
      </c>
      <c r="E67" s="38" t="n">
        <v>46300</v>
      </c>
      <c r="F67" s="36" t="n">
        <v>274</v>
      </c>
      <c r="G67" s="36" t="n">
        <v>92</v>
      </c>
      <c r="H67" s="36" t="n">
        <v>366</v>
      </c>
      <c r="I67" s="34" t="n">
        <f aca="false">ROUND(F67/H67*100,0)/100</f>
        <v>0.75</v>
      </c>
      <c r="J67" s="8" t="str">
        <f aca="false">IF(I67&gt;=Summary!$L$6,"Eligible","Shortage")</f>
        <v>Eligible</v>
      </c>
      <c r="K67" s="8" t="str">
        <f aca="false">IF(I67&lt;Summary!$L$8,"YES","No")</f>
        <v>No</v>
      </c>
      <c r="L67" s="8" t="str">
        <f aca="false">IF(I67&gt;=Summary!$L$7,"Counted","Not Counted")</f>
        <v>Counted</v>
      </c>
      <c r="M67" s="13" t="n">
        <f aca="false">IF(I67&gt;=Summary!$L$6,20,ROUND(I67/Summary!$L$6*10,1)*2)</f>
        <v>20</v>
      </c>
      <c r="N67" s="35" t="n">
        <f aca="false">20-M67</f>
        <v>0</v>
      </c>
      <c r="O67" s="8" t="str">
        <f aca="false">IF(I67&gt;=Summary!$L$6,"75%+ (all benefits)",IF(I67&gt;=Summary!$L$7,"55–74%",IF(I67&gt;=Summary!$L$8,"30–54%","Below 30%")))</f>
        <v>75%+ (all benefits)</v>
      </c>
    </row>
    <row r="68" customFormat="false" ht="15" hidden="false" customHeight="false" outlineLevel="0" collapsed="false">
      <c r="A68" s="8" t="n">
        <v>63</v>
      </c>
      <c r="B68" s="8" t="s">
        <v>21</v>
      </c>
      <c r="C68" s="8" t="s">
        <v>195</v>
      </c>
      <c r="D68" s="30" t="s">
        <v>196</v>
      </c>
      <c r="E68" s="9" t="n">
        <v>46300</v>
      </c>
      <c r="F68" s="8" t="n">
        <v>298</v>
      </c>
      <c r="G68" s="8" t="n">
        <v>68</v>
      </c>
      <c r="H68" s="8" t="n">
        <v>366</v>
      </c>
      <c r="I68" s="34" t="n">
        <f aca="false">ROUND(F68/H68*100,0)/100</f>
        <v>0.81</v>
      </c>
      <c r="J68" s="8" t="str">
        <f aca="false">IF(I68&gt;=Summary!$L$6,"Eligible","Shortage")</f>
        <v>Eligible</v>
      </c>
      <c r="K68" s="8" t="str">
        <f aca="false">IF(I68&lt;Summary!$L$8,"YES","No")</f>
        <v>No</v>
      </c>
      <c r="L68" s="8" t="str">
        <f aca="false">IF(I68&gt;=Summary!$L$7,"Counted","Not Counted")</f>
        <v>Counted</v>
      </c>
      <c r="M68" s="13" t="n">
        <f aca="false">IF(I68&gt;=Summary!$L$6,20,ROUND(I68/Summary!$L$6*10,1)*2)</f>
        <v>20</v>
      </c>
      <c r="N68" s="35" t="n">
        <f aca="false">20-M68</f>
        <v>0</v>
      </c>
      <c r="O68" s="8" t="str">
        <f aca="false">IF(I68&gt;=Summary!$L$6,"75%+ (all benefits)",IF(I68&gt;=Summary!$L$7,"55–74%",IF(I68&gt;=Summary!$L$8,"30–54%","Below 30%")))</f>
        <v>75%+ (all benefits)</v>
      </c>
    </row>
    <row r="69" customFormat="false" ht="15" hidden="false" customHeight="false" outlineLevel="0" collapsed="false">
      <c r="A69" s="36" t="n">
        <v>64</v>
      </c>
      <c r="B69" s="36" t="s">
        <v>21</v>
      </c>
      <c r="C69" s="36" t="s">
        <v>197</v>
      </c>
      <c r="D69" s="37" t="s">
        <v>198</v>
      </c>
      <c r="E69" s="38" t="n">
        <v>46300</v>
      </c>
      <c r="F69" s="36" t="n">
        <v>282</v>
      </c>
      <c r="G69" s="36" t="n">
        <v>84</v>
      </c>
      <c r="H69" s="36" t="n">
        <v>366</v>
      </c>
      <c r="I69" s="34" t="n">
        <f aca="false">ROUND(F69/H69*100,0)/100</f>
        <v>0.77</v>
      </c>
      <c r="J69" s="8" t="str">
        <f aca="false">IF(I69&gt;=Summary!$L$6,"Eligible","Shortage")</f>
        <v>Eligible</v>
      </c>
      <c r="K69" s="8" t="str">
        <f aca="false">IF(I69&lt;Summary!$L$8,"YES","No")</f>
        <v>No</v>
      </c>
      <c r="L69" s="8" t="str">
        <f aca="false">IF(I69&gt;=Summary!$L$7,"Counted","Not Counted")</f>
        <v>Counted</v>
      </c>
      <c r="M69" s="13" t="n">
        <f aca="false">IF(I69&gt;=Summary!$L$6,20,ROUND(I69/Summary!$L$6*10,1)*2)</f>
        <v>20</v>
      </c>
      <c r="N69" s="35" t="n">
        <f aca="false">20-M69</f>
        <v>0</v>
      </c>
      <c r="O69" s="8" t="str">
        <f aca="false">IF(I69&gt;=Summary!$L$6,"75%+ (all benefits)",IF(I69&gt;=Summary!$L$7,"55–74%",IF(I69&gt;=Summary!$L$8,"30–54%","Below 30%")))</f>
        <v>75%+ (all benefits)</v>
      </c>
    </row>
    <row r="70" customFormat="false" ht="15" hidden="false" customHeight="false" outlineLevel="0" collapsed="false">
      <c r="A70" s="8" t="n">
        <v>65</v>
      </c>
      <c r="B70" s="8" t="s">
        <v>21</v>
      </c>
      <c r="C70" s="8" t="s">
        <v>199</v>
      </c>
      <c r="D70" s="30" t="s">
        <v>200</v>
      </c>
      <c r="E70" s="9" t="n">
        <v>46300</v>
      </c>
      <c r="F70" s="8" t="n">
        <v>239</v>
      </c>
      <c r="G70" s="8" t="n">
        <v>127</v>
      </c>
      <c r="H70" s="8" t="n">
        <v>366</v>
      </c>
      <c r="I70" s="34" t="n">
        <f aca="false">ROUND(F70/H70*100,0)/100</f>
        <v>0.65</v>
      </c>
      <c r="J70" s="8" t="str">
        <f aca="false">IF(I70&gt;=Summary!$L$6,"Eligible","Shortage")</f>
        <v>Shortage</v>
      </c>
      <c r="K70" s="8" t="str">
        <f aca="false">IF(I70&lt;Summary!$L$8,"YES","No")</f>
        <v>No</v>
      </c>
      <c r="L70" s="8" t="str">
        <f aca="false">IF(I70&gt;=Summary!$L$7,"Counted","Not Counted")</f>
        <v>Counted</v>
      </c>
      <c r="M70" s="13" t="n">
        <f aca="false">IF(I70&gt;=Summary!$L$6,20,ROUND(I70/Summary!$L$6*10,1)*2)</f>
        <v>17.4</v>
      </c>
      <c r="N70" s="35" t="n">
        <f aca="false">20-M70</f>
        <v>2.6</v>
      </c>
      <c r="O70" s="8" t="str">
        <f aca="false">IF(I70&gt;=Summary!$L$6,"75%+ (all benefits)",IF(I70&gt;=Summary!$L$7,"55–74%",IF(I70&gt;=Summary!$L$8,"30–54%","Below 30%")))</f>
        <v>55–74%</v>
      </c>
    </row>
    <row r="71" customFormat="false" ht="15" hidden="false" customHeight="false" outlineLevel="0" collapsed="false">
      <c r="A71" s="36" t="n">
        <v>66</v>
      </c>
      <c r="B71" s="36" t="s">
        <v>21</v>
      </c>
      <c r="C71" s="36" t="s">
        <v>201</v>
      </c>
      <c r="D71" s="37" t="s">
        <v>202</v>
      </c>
      <c r="E71" s="38" t="n">
        <v>46300</v>
      </c>
      <c r="F71" s="36" t="n">
        <v>277</v>
      </c>
      <c r="G71" s="36" t="n">
        <v>89</v>
      </c>
      <c r="H71" s="36" t="n">
        <v>366</v>
      </c>
      <c r="I71" s="34" t="n">
        <f aca="false">ROUND(F71/H71*100,0)/100</f>
        <v>0.76</v>
      </c>
      <c r="J71" s="8" t="str">
        <f aca="false">IF(I71&gt;=Summary!$L$6,"Eligible","Shortage")</f>
        <v>Eligible</v>
      </c>
      <c r="K71" s="8" t="str">
        <f aca="false">IF(I71&lt;Summary!$L$8,"YES","No")</f>
        <v>No</v>
      </c>
      <c r="L71" s="8" t="str">
        <f aca="false">IF(I71&gt;=Summary!$L$7,"Counted","Not Counted")</f>
        <v>Counted</v>
      </c>
      <c r="M71" s="13" t="n">
        <f aca="false">IF(I71&gt;=Summary!$L$6,20,ROUND(I71/Summary!$L$6*10,1)*2)</f>
        <v>20</v>
      </c>
      <c r="N71" s="35" t="n">
        <f aca="false">20-M71</f>
        <v>0</v>
      </c>
      <c r="O71" s="8" t="str">
        <f aca="false">IF(I71&gt;=Summary!$L$6,"75%+ (all benefits)",IF(I71&gt;=Summary!$L$7,"55–74%",IF(I71&gt;=Summary!$L$8,"30–54%","Below 30%")))</f>
        <v>75%+ (all benefits)</v>
      </c>
    </row>
    <row r="72" customFormat="false" ht="15" hidden="false" customHeight="false" outlineLevel="0" collapsed="false">
      <c r="A72" s="8" t="n">
        <v>67</v>
      </c>
      <c r="B72" s="8" t="s">
        <v>21</v>
      </c>
      <c r="C72" s="8" t="s">
        <v>203</v>
      </c>
      <c r="D72" s="30" t="s">
        <v>204</v>
      </c>
      <c r="E72" s="9" t="n">
        <v>46300</v>
      </c>
      <c r="F72" s="8" t="n">
        <v>297</v>
      </c>
      <c r="G72" s="8" t="n">
        <v>69</v>
      </c>
      <c r="H72" s="8" t="n">
        <v>366</v>
      </c>
      <c r="I72" s="34" t="n">
        <f aca="false">ROUND(F72/H72*100,0)/100</f>
        <v>0.81</v>
      </c>
      <c r="J72" s="8" t="str">
        <f aca="false">IF(I72&gt;=Summary!$L$6,"Eligible","Shortage")</f>
        <v>Eligible</v>
      </c>
      <c r="K72" s="8" t="str">
        <f aca="false">IF(I72&lt;Summary!$L$8,"YES","No")</f>
        <v>No</v>
      </c>
      <c r="L72" s="8" t="str">
        <f aca="false">IF(I72&gt;=Summary!$L$7,"Counted","Not Counted")</f>
        <v>Counted</v>
      </c>
      <c r="M72" s="13" t="n">
        <f aca="false">IF(I72&gt;=Summary!$L$6,20,ROUND(I72/Summary!$L$6*10,1)*2)</f>
        <v>20</v>
      </c>
      <c r="N72" s="35" t="n">
        <f aca="false">20-M72</f>
        <v>0</v>
      </c>
      <c r="O72" s="8" t="str">
        <f aca="false">IF(I72&gt;=Summary!$L$6,"75%+ (all benefits)",IF(I72&gt;=Summary!$L$7,"55–74%",IF(I72&gt;=Summary!$L$8,"30–54%","Below 30%")))</f>
        <v>75%+ (all benefits)</v>
      </c>
    </row>
    <row r="73" customFormat="false" ht="15" hidden="false" customHeight="false" outlineLevel="0" collapsed="false">
      <c r="A73" s="36" t="n">
        <v>68</v>
      </c>
      <c r="B73" s="36" t="s">
        <v>21</v>
      </c>
      <c r="C73" s="36" t="s">
        <v>205</v>
      </c>
      <c r="D73" s="37" t="s">
        <v>206</v>
      </c>
      <c r="E73" s="38" t="n">
        <v>46300</v>
      </c>
      <c r="F73" s="36" t="n">
        <v>268</v>
      </c>
      <c r="G73" s="36" t="n">
        <v>98</v>
      </c>
      <c r="H73" s="36" t="n">
        <v>366</v>
      </c>
      <c r="I73" s="34" t="n">
        <f aca="false">ROUND(F73/H73*100,0)/100</f>
        <v>0.73</v>
      </c>
      <c r="J73" s="8" t="str">
        <f aca="false">IF(I73&gt;=Summary!$L$6,"Eligible","Shortage")</f>
        <v>Shortage</v>
      </c>
      <c r="K73" s="8" t="str">
        <f aca="false">IF(I73&lt;Summary!$L$8,"YES","No")</f>
        <v>No</v>
      </c>
      <c r="L73" s="8" t="str">
        <f aca="false">IF(I73&gt;=Summary!$L$7,"Counted","Not Counted")</f>
        <v>Counted</v>
      </c>
      <c r="M73" s="13" t="n">
        <f aca="false">IF(I73&gt;=Summary!$L$6,20,ROUND(I73/Summary!$L$6*10,1)*2)</f>
        <v>19.4</v>
      </c>
      <c r="N73" s="35" t="n">
        <f aca="false">20-M73</f>
        <v>0.600000000000001</v>
      </c>
      <c r="O73" s="8" t="str">
        <f aca="false">IF(I73&gt;=Summary!$L$6,"75%+ (all benefits)",IF(I73&gt;=Summary!$L$7,"55–74%",IF(I73&gt;=Summary!$L$8,"30–54%","Below 30%")))</f>
        <v>55–74%</v>
      </c>
    </row>
    <row r="74" customFormat="false" ht="15" hidden="false" customHeight="false" outlineLevel="0" collapsed="false">
      <c r="A74" s="8" t="n">
        <v>69</v>
      </c>
      <c r="B74" s="8" t="s">
        <v>21</v>
      </c>
      <c r="C74" s="8" t="s">
        <v>207</v>
      </c>
      <c r="D74" s="30" t="s">
        <v>208</v>
      </c>
      <c r="E74" s="9" t="n">
        <v>46300</v>
      </c>
      <c r="F74" s="8" t="n">
        <v>188</v>
      </c>
      <c r="G74" s="8" t="n">
        <v>178</v>
      </c>
      <c r="H74" s="8" t="n">
        <v>366</v>
      </c>
      <c r="I74" s="34" t="n">
        <f aca="false">ROUND(F74/H74*100,0)/100</f>
        <v>0.51</v>
      </c>
      <c r="J74" s="8" t="str">
        <f aca="false">IF(I74&gt;=Summary!$L$6,"Eligible","Shortage")</f>
        <v>Shortage</v>
      </c>
      <c r="K74" s="8" t="str">
        <f aca="false">IF(I74&lt;Summary!$L$8,"YES","No")</f>
        <v>No</v>
      </c>
      <c r="L74" s="8" t="str">
        <f aca="false">IF(I74&gt;=Summary!$L$7,"Counted","Not Counted")</f>
        <v>Not Counted</v>
      </c>
      <c r="M74" s="13" t="n">
        <f aca="false">IF(I74&gt;=Summary!$L$6,20,ROUND(I74/Summary!$L$6*10,1)*2)</f>
        <v>13.6</v>
      </c>
      <c r="N74" s="35" t="n">
        <f aca="false">20-M74</f>
        <v>6.4</v>
      </c>
      <c r="O74" s="8" t="str">
        <f aca="false">IF(I74&gt;=Summary!$L$6,"75%+ (all benefits)",IF(I74&gt;=Summary!$L$7,"55–74%",IF(I74&gt;=Summary!$L$8,"30–54%","Below 30%")))</f>
        <v>30–54%</v>
      </c>
    </row>
    <row r="75" customFormat="false" ht="15" hidden="false" customHeight="false" outlineLevel="0" collapsed="false">
      <c r="A75" s="36" t="n">
        <v>70</v>
      </c>
      <c r="B75" s="36" t="s">
        <v>21</v>
      </c>
      <c r="C75" s="36" t="s">
        <v>209</v>
      </c>
      <c r="D75" s="37" t="s">
        <v>210</v>
      </c>
      <c r="E75" s="38" t="n">
        <v>46300</v>
      </c>
      <c r="F75" s="36" t="n">
        <v>226</v>
      </c>
      <c r="G75" s="36" t="n">
        <v>140</v>
      </c>
      <c r="H75" s="36" t="n">
        <v>366</v>
      </c>
      <c r="I75" s="34" t="n">
        <f aca="false">ROUND(F75/H75*100,0)/100</f>
        <v>0.62</v>
      </c>
      <c r="J75" s="8" t="str">
        <f aca="false">IF(I75&gt;=Summary!$L$6,"Eligible","Shortage")</f>
        <v>Shortage</v>
      </c>
      <c r="K75" s="8" t="str">
        <f aca="false">IF(I75&lt;Summary!$L$8,"YES","No")</f>
        <v>No</v>
      </c>
      <c r="L75" s="8" t="str">
        <f aca="false">IF(I75&gt;=Summary!$L$7,"Counted","Not Counted")</f>
        <v>Counted</v>
      </c>
      <c r="M75" s="13" t="n">
        <f aca="false">IF(I75&gt;=Summary!$L$6,20,ROUND(I75/Summary!$L$6*10,1)*2)</f>
        <v>16.6</v>
      </c>
      <c r="N75" s="35" t="n">
        <f aca="false">20-M75</f>
        <v>3.4</v>
      </c>
      <c r="O75" s="8" t="str">
        <f aca="false">IF(I75&gt;=Summary!$L$6,"75%+ (all benefits)",IF(I75&gt;=Summary!$L$7,"55–74%",IF(I75&gt;=Summary!$L$8,"30–54%","Below 30%")))</f>
        <v>55–74%</v>
      </c>
    </row>
    <row r="76" customFormat="false" ht="15" hidden="false" customHeight="false" outlineLevel="0" collapsed="false">
      <c r="A76" s="8" t="n">
        <v>71</v>
      </c>
      <c r="B76" s="8" t="s">
        <v>21</v>
      </c>
      <c r="C76" s="8" t="s">
        <v>211</v>
      </c>
      <c r="D76" s="30" t="s">
        <v>212</v>
      </c>
      <c r="E76" s="9" t="n">
        <v>46300</v>
      </c>
      <c r="F76" s="8" t="n">
        <v>319</v>
      </c>
      <c r="G76" s="8" t="n">
        <v>47</v>
      </c>
      <c r="H76" s="8" t="n">
        <v>366</v>
      </c>
      <c r="I76" s="34" t="n">
        <f aca="false">ROUND(F76/H76*100,0)/100</f>
        <v>0.87</v>
      </c>
      <c r="J76" s="8" t="str">
        <f aca="false">IF(I76&gt;=Summary!$L$6,"Eligible","Shortage")</f>
        <v>Eligible</v>
      </c>
      <c r="K76" s="8" t="str">
        <f aca="false">IF(I76&lt;Summary!$L$8,"YES","No")</f>
        <v>No</v>
      </c>
      <c r="L76" s="8" t="str">
        <f aca="false">IF(I76&gt;=Summary!$L$7,"Counted","Not Counted")</f>
        <v>Counted</v>
      </c>
      <c r="M76" s="13" t="n">
        <f aca="false">IF(I76&gt;=Summary!$L$6,20,ROUND(I76/Summary!$L$6*10,1)*2)</f>
        <v>20</v>
      </c>
      <c r="N76" s="35" t="n">
        <f aca="false">20-M76</f>
        <v>0</v>
      </c>
      <c r="O76" s="8" t="str">
        <f aca="false">IF(I76&gt;=Summary!$L$6,"75%+ (all benefits)",IF(I76&gt;=Summary!$L$7,"55–74%",IF(I76&gt;=Summary!$L$8,"30–54%","Below 30%")))</f>
        <v>75%+ (all benefits)</v>
      </c>
    </row>
    <row r="77" customFormat="false" ht="15" hidden="false" customHeight="false" outlineLevel="0" collapsed="false">
      <c r="A77" s="36" t="n">
        <v>72</v>
      </c>
      <c r="B77" s="36" t="s">
        <v>21</v>
      </c>
      <c r="C77" s="36" t="s">
        <v>213</v>
      </c>
      <c r="D77" s="37" t="s">
        <v>214</v>
      </c>
      <c r="E77" s="38" t="n">
        <v>46300</v>
      </c>
      <c r="F77" s="36" t="n">
        <v>303</v>
      </c>
      <c r="G77" s="36" t="n">
        <v>63</v>
      </c>
      <c r="H77" s="36" t="n">
        <v>366</v>
      </c>
      <c r="I77" s="34" t="n">
        <f aca="false">ROUND(F77/H77*100,0)/100</f>
        <v>0.83</v>
      </c>
      <c r="J77" s="8" t="str">
        <f aca="false">IF(I77&gt;=Summary!$L$6,"Eligible","Shortage")</f>
        <v>Eligible</v>
      </c>
      <c r="K77" s="8" t="str">
        <f aca="false">IF(I77&lt;Summary!$L$8,"YES","No")</f>
        <v>No</v>
      </c>
      <c r="L77" s="8" t="str">
        <f aca="false">IF(I77&gt;=Summary!$L$7,"Counted","Not Counted")</f>
        <v>Counted</v>
      </c>
      <c r="M77" s="13" t="n">
        <f aca="false">IF(I77&gt;=Summary!$L$6,20,ROUND(I77/Summary!$L$6*10,1)*2)</f>
        <v>20</v>
      </c>
      <c r="N77" s="35" t="n">
        <f aca="false">20-M77</f>
        <v>0</v>
      </c>
      <c r="O77" s="8" t="str">
        <f aca="false">IF(I77&gt;=Summary!$L$6,"75%+ (all benefits)",IF(I77&gt;=Summary!$L$7,"55–74%",IF(I77&gt;=Summary!$L$8,"30–54%","Below 30%")))</f>
        <v>75%+ (all benefits)</v>
      </c>
    </row>
    <row r="78" customFormat="false" ht="15" hidden="false" customHeight="false" outlineLevel="0" collapsed="false">
      <c r="A78" s="8" t="n">
        <v>73</v>
      </c>
      <c r="B78" s="8" t="s">
        <v>21</v>
      </c>
      <c r="C78" s="8" t="s">
        <v>57</v>
      </c>
      <c r="D78" s="30" t="s">
        <v>58</v>
      </c>
      <c r="E78" s="9" t="n">
        <v>46300</v>
      </c>
      <c r="F78" s="8" t="n">
        <v>84</v>
      </c>
      <c r="G78" s="8" t="n">
        <v>282</v>
      </c>
      <c r="H78" s="8" t="n">
        <v>366</v>
      </c>
      <c r="I78" s="34" t="n">
        <f aca="false">ROUND(F78/H78*100,0)/100</f>
        <v>0.23</v>
      </c>
      <c r="J78" s="8" t="str">
        <f aca="false">IF(I78&gt;=Summary!$L$6,"Eligible","Shortage")</f>
        <v>Shortage</v>
      </c>
      <c r="K78" s="8" t="str">
        <f aca="false">IF(I78&lt;Summary!$L$8,"YES","No")</f>
        <v>YES</v>
      </c>
      <c r="L78" s="8" t="str">
        <f aca="false">IF(I78&gt;=Summary!$L$7,"Counted","Not Counted")</f>
        <v>Not Counted</v>
      </c>
      <c r="M78" s="13" t="n">
        <f aca="false">IF(I78&gt;=Summary!$L$6,20,ROUND(I78/Summary!$L$6*10,1)*2)</f>
        <v>6.2</v>
      </c>
      <c r="N78" s="35" t="n">
        <f aca="false">20-M78</f>
        <v>13.8</v>
      </c>
      <c r="O78" s="8" t="str">
        <f aca="false">IF(I78&gt;=Summary!$L$6,"75%+ (all benefits)",IF(I78&gt;=Summary!$L$7,"55–74%",IF(I78&gt;=Summary!$L$8,"30–54%","Below 30%")))</f>
        <v>Below 30%</v>
      </c>
    </row>
    <row r="79" customFormat="false" ht="15" hidden="false" customHeight="false" outlineLevel="0" collapsed="false">
      <c r="A79" s="36" t="n">
        <v>74</v>
      </c>
      <c r="B79" s="36" t="s">
        <v>21</v>
      </c>
      <c r="C79" s="36" t="s">
        <v>215</v>
      </c>
      <c r="D79" s="37" t="s">
        <v>216</v>
      </c>
      <c r="E79" s="38" t="n">
        <v>46300</v>
      </c>
      <c r="F79" s="36" t="n">
        <v>268</v>
      </c>
      <c r="G79" s="36" t="n">
        <v>107</v>
      </c>
      <c r="H79" s="36" t="n">
        <v>375</v>
      </c>
      <c r="I79" s="34" t="n">
        <f aca="false">ROUND(F79/H79*100,0)/100</f>
        <v>0.71</v>
      </c>
      <c r="J79" s="8" t="str">
        <f aca="false">IF(I79&gt;=Summary!$L$6,"Eligible","Shortage")</f>
        <v>Shortage</v>
      </c>
      <c r="K79" s="8" t="str">
        <f aca="false">IF(I79&lt;Summary!$L$8,"YES","No")</f>
        <v>No</v>
      </c>
      <c r="L79" s="8" t="str">
        <f aca="false">IF(I79&gt;=Summary!$L$7,"Counted","Not Counted")</f>
        <v>Counted</v>
      </c>
      <c r="M79" s="13" t="n">
        <f aca="false">IF(I79&gt;=Summary!$L$6,20,ROUND(I79/Summary!$L$6*10,1)*2)</f>
        <v>19</v>
      </c>
      <c r="N79" s="35" t="n">
        <f aca="false">20-M79</f>
        <v>1</v>
      </c>
      <c r="O79" s="8" t="str">
        <f aca="false">IF(I79&gt;=Summary!$L$6,"75%+ (all benefits)",IF(I79&gt;=Summary!$L$7,"55–74%",IF(I79&gt;=Summary!$L$8,"30–54%","Below 30%")))</f>
        <v>55–74%</v>
      </c>
    </row>
    <row r="80" customFormat="false" ht="15" hidden="false" customHeight="false" outlineLevel="0" collapsed="false">
      <c r="A80" s="8" t="n">
        <v>75</v>
      </c>
      <c r="B80" s="8" t="s">
        <v>21</v>
      </c>
      <c r="C80" s="8" t="s">
        <v>217</v>
      </c>
      <c r="D80" s="30" t="s">
        <v>218</v>
      </c>
      <c r="E80" s="9" t="n">
        <v>46300</v>
      </c>
      <c r="F80" s="8" t="n">
        <v>279</v>
      </c>
      <c r="G80" s="8" t="n">
        <v>87</v>
      </c>
      <c r="H80" s="8" t="n">
        <v>366</v>
      </c>
      <c r="I80" s="34" t="n">
        <f aca="false">ROUND(F80/H80*100,0)/100</f>
        <v>0.76</v>
      </c>
      <c r="J80" s="8" t="str">
        <f aca="false">IF(I80&gt;=Summary!$L$6,"Eligible","Shortage")</f>
        <v>Eligible</v>
      </c>
      <c r="K80" s="8" t="str">
        <f aca="false">IF(I80&lt;Summary!$L$8,"YES","No")</f>
        <v>No</v>
      </c>
      <c r="L80" s="8" t="str">
        <f aca="false">IF(I80&gt;=Summary!$L$7,"Counted","Not Counted")</f>
        <v>Counted</v>
      </c>
      <c r="M80" s="13" t="n">
        <f aca="false">IF(I80&gt;=Summary!$L$6,20,ROUND(I80/Summary!$L$6*10,1)*2)</f>
        <v>20</v>
      </c>
      <c r="N80" s="35" t="n">
        <f aca="false">20-M80</f>
        <v>0</v>
      </c>
      <c r="O80" s="8" t="str">
        <f aca="false">IF(I80&gt;=Summary!$L$6,"75%+ (all benefits)",IF(I80&gt;=Summary!$L$7,"55–74%",IF(I80&gt;=Summary!$L$8,"30–54%","Below 30%")))</f>
        <v>75%+ (all benefits)</v>
      </c>
    </row>
    <row r="81" customFormat="false" ht="15" hidden="false" customHeight="false" outlineLevel="0" collapsed="false">
      <c r="A81" s="36" t="n">
        <v>76</v>
      </c>
      <c r="B81" s="36" t="s">
        <v>21</v>
      </c>
      <c r="C81" s="36" t="s">
        <v>219</v>
      </c>
      <c r="D81" s="37" t="s">
        <v>220</v>
      </c>
      <c r="E81" s="38" t="n">
        <v>46300</v>
      </c>
      <c r="F81" s="36" t="n">
        <v>252</v>
      </c>
      <c r="G81" s="36" t="n">
        <v>114</v>
      </c>
      <c r="H81" s="36" t="n">
        <v>366</v>
      </c>
      <c r="I81" s="34" t="n">
        <f aca="false">ROUND(F81/H81*100,0)/100</f>
        <v>0.69</v>
      </c>
      <c r="J81" s="8" t="str">
        <f aca="false">IF(I81&gt;=Summary!$L$6,"Eligible","Shortage")</f>
        <v>Shortage</v>
      </c>
      <c r="K81" s="8" t="str">
        <f aca="false">IF(I81&lt;Summary!$L$8,"YES","No")</f>
        <v>No</v>
      </c>
      <c r="L81" s="8" t="str">
        <f aca="false">IF(I81&gt;=Summary!$L$7,"Counted","Not Counted")</f>
        <v>Counted</v>
      </c>
      <c r="M81" s="13" t="n">
        <f aca="false">IF(I81&gt;=Summary!$L$6,20,ROUND(I81/Summary!$L$6*10,1)*2)</f>
        <v>18.4</v>
      </c>
      <c r="N81" s="35" t="n">
        <f aca="false">20-M81</f>
        <v>1.6</v>
      </c>
      <c r="O81" s="8" t="str">
        <f aca="false">IF(I81&gt;=Summary!$L$6,"75%+ (all benefits)",IF(I81&gt;=Summary!$L$7,"55–74%",IF(I81&gt;=Summary!$L$8,"30–54%","Below 30%")))</f>
        <v>55–74%</v>
      </c>
    </row>
    <row r="82" customFormat="false" ht="15" hidden="false" customHeight="false" outlineLevel="0" collapsed="false">
      <c r="A82" s="8" t="n">
        <v>77</v>
      </c>
      <c r="B82" s="8" t="s">
        <v>21</v>
      </c>
      <c r="C82" s="8" t="s">
        <v>221</v>
      </c>
      <c r="D82" s="30" t="s">
        <v>222</v>
      </c>
      <c r="E82" s="9" t="n">
        <v>46300</v>
      </c>
      <c r="F82" s="8" t="n">
        <v>263</v>
      </c>
      <c r="G82" s="8" t="n">
        <v>103</v>
      </c>
      <c r="H82" s="8" t="n">
        <v>366</v>
      </c>
      <c r="I82" s="34" t="n">
        <f aca="false">ROUND(F82/H82*100,0)/100</f>
        <v>0.72</v>
      </c>
      <c r="J82" s="8" t="str">
        <f aca="false">IF(I82&gt;=Summary!$L$6,"Eligible","Shortage")</f>
        <v>Shortage</v>
      </c>
      <c r="K82" s="8" t="str">
        <f aca="false">IF(I82&lt;Summary!$L$8,"YES","No")</f>
        <v>No</v>
      </c>
      <c r="L82" s="8" t="str">
        <f aca="false">IF(I82&gt;=Summary!$L$7,"Counted","Not Counted")</f>
        <v>Counted</v>
      </c>
      <c r="M82" s="13" t="n">
        <f aca="false">IF(I82&gt;=Summary!$L$6,20,ROUND(I82/Summary!$L$6*10,1)*2)</f>
        <v>19.2</v>
      </c>
      <c r="N82" s="35" t="n">
        <f aca="false">20-M82</f>
        <v>0.800000000000001</v>
      </c>
      <c r="O82" s="8" t="str">
        <f aca="false">IF(I82&gt;=Summary!$L$6,"75%+ (all benefits)",IF(I82&gt;=Summary!$L$7,"55–74%",IF(I82&gt;=Summary!$L$8,"30–54%","Below 30%")))</f>
        <v>55–74%</v>
      </c>
    </row>
    <row r="83" customFormat="false" ht="15" hidden="false" customHeight="false" outlineLevel="0" collapsed="false">
      <c r="A83" s="36" t="n">
        <v>78</v>
      </c>
      <c r="B83" s="36" t="s">
        <v>21</v>
      </c>
      <c r="C83" s="36" t="s">
        <v>223</v>
      </c>
      <c r="D83" s="37" t="s">
        <v>224</v>
      </c>
      <c r="E83" s="38" t="n">
        <v>46300</v>
      </c>
      <c r="F83" s="36" t="n">
        <v>299</v>
      </c>
      <c r="G83" s="36" t="n">
        <v>67</v>
      </c>
      <c r="H83" s="36" t="n">
        <v>366</v>
      </c>
      <c r="I83" s="34" t="n">
        <f aca="false">ROUND(F83/H83*100,0)/100</f>
        <v>0.82</v>
      </c>
      <c r="J83" s="8" t="str">
        <f aca="false">IF(I83&gt;=Summary!$L$6,"Eligible","Shortage")</f>
        <v>Eligible</v>
      </c>
      <c r="K83" s="8" t="str">
        <f aca="false">IF(I83&lt;Summary!$L$8,"YES","No")</f>
        <v>No</v>
      </c>
      <c r="L83" s="8" t="str">
        <f aca="false">IF(I83&gt;=Summary!$L$7,"Counted","Not Counted")</f>
        <v>Counted</v>
      </c>
      <c r="M83" s="13" t="n">
        <f aca="false">IF(I83&gt;=Summary!$L$6,20,ROUND(I83/Summary!$L$6*10,1)*2)</f>
        <v>20</v>
      </c>
      <c r="N83" s="35" t="n">
        <f aca="false">20-M83</f>
        <v>0</v>
      </c>
      <c r="O83" s="8" t="str">
        <f aca="false">IF(I83&gt;=Summary!$L$6,"75%+ (all benefits)",IF(I83&gt;=Summary!$L$7,"55–74%",IF(I83&gt;=Summary!$L$8,"30–54%","Below 30%")))</f>
        <v>75%+ (all benefits)</v>
      </c>
    </row>
    <row r="84" customFormat="false" ht="15" hidden="false" customHeight="false" outlineLevel="0" collapsed="false">
      <c r="A84" s="8" t="n">
        <v>79</v>
      </c>
      <c r="B84" s="8" t="s">
        <v>21</v>
      </c>
      <c r="C84" s="8" t="s">
        <v>225</v>
      </c>
      <c r="D84" s="30" t="s">
        <v>226</v>
      </c>
      <c r="E84" s="9" t="n">
        <v>46300</v>
      </c>
      <c r="F84" s="8" t="n">
        <v>281</v>
      </c>
      <c r="G84" s="8" t="n">
        <v>85</v>
      </c>
      <c r="H84" s="8" t="n">
        <v>366</v>
      </c>
      <c r="I84" s="34" t="n">
        <f aca="false">ROUND(F84/H84*100,0)/100</f>
        <v>0.77</v>
      </c>
      <c r="J84" s="8" t="str">
        <f aca="false">IF(I84&gt;=Summary!$L$6,"Eligible","Shortage")</f>
        <v>Eligible</v>
      </c>
      <c r="K84" s="8" t="str">
        <f aca="false">IF(I84&lt;Summary!$L$8,"YES","No")</f>
        <v>No</v>
      </c>
      <c r="L84" s="8" t="str">
        <f aca="false">IF(I84&gt;=Summary!$L$7,"Counted","Not Counted")</f>
        <v>Counted</v>
      </c>
      <c r="M84" s="13" t="n">
        <f aca="false">IF(I84&gt;=Summary!$L$6,20,ROUND(I84/Summary!$L$6*10,1)*2)</f>
        <v>20</v>
      </c>
      <c r="N84" s="35" t="n">
        <f aca="false">20-M84</f>
        <v>0</v>
      </c>
      <c r="O84" s="8" t="str">
        <f aca="false">IF(I84&gt;=Summary!$L$6,"75%+ (all benefits)",IF(I84&gt;=Summary!$L$7,"55–74%",IF(I84&gt;=Summary!$L$8,"30–54%","Below 30%")))</f>
        <v>75%+ (all benefits)</v>
      </c>
    </row>
    <row r="85" customFormat="false" ht="15" hidden="false" customHeight="false" outlineLevel="0" collapsed="false">
      <c r="A85" s="36" t="n">
        <v>80</v>
      </c>
      <c r="B85" s="36" t="s">
        <v>21</v>
      </c>
      <c r="C85" s="36" t="s">
        <v>227</v>
      </c>
      <c r="D85" s="37" t="s">
        <v>228</v>
      </c>
      <c r="E85" s="38" t="n">
        <v>46300</v>
      </c>
      <c r="F85" s="36" t="n">
        <v>277</v>
      </c>
      <c r="G85" s="36" t="n">
        <v>89</v>
      </c>
      <c r="H85" s="36" t="n">
        <v>366</v>
      </c>
      <c r="I85" s="34" t="n">
        <f aca="false">ROUND(F85/H85*100,0)/100</f>
        <v>0.76</v>
      </c>
      <c r="J85" s="8" t="str">
        <f aca="false">IF(I85&gt;=Summary!$L$6,"Eligible","Shortage")</f>
        <v>Eligible</v>
      </c>
      <c r="K85" s="8" t="str">
        <f aca="false">IF(I85&lt;Summary!$L$8,"YES","No")</f>
        <v>No</v>
      </c>
      <c r="L85" s="8" t="str">
        <f aca="false">IF(I85&gt;=Summary!$L$7,"Counted","Not Counted")</f>
        <v>Counted</v>
      </c>
      <c r="M85" s="13" t="n">
        <f aca="false">IF(I85&gt;=Summary!$L$6,20,ROUND(I85/Summary!$L$6*10,1)*2)</f>
        <v>20</v>
      </c>
      <c r="N85" s="35" t="n">
        <f aca="false">20-M85</f>
        <v>0</v>
      </c>
      <c r="O85" s="8" t="str">
        <f aca="false">IF(I85&gt;=Summary!$L$6,"75%+ (all benefits)",IF(I85&gt;=Summary!$L$7,"55–74%",IF(I85&gt;=Summary!$L$8,"30–54%","Below 30%")))</f>
        <v>75%+ (all benefits)</v>
      </c>
    </row>
    <row r="86" customFormat="false" ht="15" hidden="false" customHeight="false" outlineLevel="0" collapsed="false">
      <c r="A86" s="8" t="n">
        <v>81</v>
      </c>
      <c r="B86" s="8" t="s">
        <v>21</v>
      </c>
      <c r="C86" s="8" t="s">
        <v>229</v>
      </c>
      <c r="D86" s="30" t="s">
        <v>230</v>
      </c>
      <c r="E86" s="9" t="n">
        <v>46300</v>
      </c>
      <c r="F86" s="8" t="n">
        <v>297</v>
      </c>
      <c r="G86" s="8" t="n">
        <v>69</v>
      </c>
      <c r="H86" s="8" t="n">
        <v>366</v>
      </c>
      <c r="I86" s="34" t="n">
        <f aca="false">ROUND(F86/H86*100,0)/100</f>
        <v>0.81</v>
      </c>
      <c r="J86" s="8" t="str">
        <f aca="false">IF(I86&gt;=Summary!$L$6,"Eligible","Shortage")</f>
        <v>Eligible</v>
      </c>
      <c r="K86" s="8" t="str">
        <f aca="false">IF(I86&lt;Summary!$L$8,"YES","No")</f>
        <v>No</v>
      </c>
      <c r="L86" s="8" t="str">
        <f aca="false">IF(I86&gt;=Summary!$L$7,"Counted","Not Counted")</f>
        <v>Counted</v>
      </c>
      <c r="M86" s="13" t="n">
        <f aca="false">IF(I86&gt;=Summary!$L$6,20,ROUND(I86/Summary!$L$6*10,1)*2)</f>
        <v>20</v>
      </c>
      <c r="N86" s="35" t="n">
        <f aca="false">20-M86</f>
        <v>0</v>
      </c>
      <c r="O86" s="8" t="str">
        <f aca="false">IF(I86&gt;=Summary!$L$6,"75%+ (all benefits)",IF(I86&gt;=Summary!$L$7,"55–74%",IF(I86&gt;=Summary!$L$8,"30–54%","Below 30%")))</f>
        <v>75%+ (all benefits)</v>
      </c>
    </row>
    <row r="87" customFormat="false" ht="15" hidden="false" customHeight="false" outlineLevel="0" collapsed="false">
      <c r="A87" s="36" t="n">
        <v>82</v>
      </c>
      <c r="B87" s="36" t="s">
        <v>21</v>
      </c>
      <c r="C87" s="36" t="s">
        <v>231</v>
      </c>
      <c r="D87" s="37" t="s">
        <v>232</v>
      </c>
      <c r="E87" s="38" t="n">
        <v>46300</v>
      </c>
      <c r="F87" s="36" t="n">
        <v>323</v>
      </c>
      <c r="G87" s="36" t="n">
        <v>43</v>
      </c>
      <c r="H87" s="36" t="n">
        <v>366</v>
      </c>
      <c r="I87" s="34" t="n">
        <f aca="false">ROUND(F87/H87*100,0)/100</f>
        <v>0.88</v>
      </c>
      <c r="J87" s="8" t="str">
        <f aca="false">IF(I87&gt;=Summary!$L$6,"Eligible","Shortage")</f>
        <v>Eligible</v>
      </c>
      <c r="K87" s="8" t="str">
        <f aca="false">IF(I87&lt;Summary!$L$8,"YES","No")</f>
        <v>No</v>
      </c>
      <c r="L87" s="8" t="str">
        <f aca="false">IF(I87&gt;=Summary!$L$7,"Counted","Not Counted")</f>
        <v>Counted</v>
      </c>
      <c r="M87" s="13" t="n">
        <f aca="false">IF(I87&gt;=Summary!$L$6,20,ROUND(I87/Summary!$L$6*10,1)*2)</f>
        <v>20</v>
      </c>
      <c r="N87" s="35" t="n">
        <f aca="false">20-M87</f>
        <v>0</v>
      </c>
      <c r="O87" s="8" t="str">
        <f aca="false">IF(I87&gt;=Summary!$L$6,"75%+ (all benefits)",IF(I87&gt;=Summary!$L$7,"55–74%",IF(I87&gt;=Summary!$L$8,"30–54%","Below 30%")))</f>
        <v>75%+ (all benefits)</v>
      </c>
    </row>
    <row r="88" customFormat="false" ht="15" hidden="false" customHeight="false" outlineLevel="0" collapsed="false">
      <c r="A88" s="8" t="n">
        <v>83</v>
      </c>
      <c r="B88" s="8" t="s">
        <v>21</v>
      </c>
      <c r="C88" s="8" t="s">
        <v>233</v>
      </c>
      <c r="D88" s="30" t="s">
        <v>234</v>
      </c>
      <c r="E88" s="9" t="n">
        <v>46300</v>
      </c>
      <c r="F88" s="8" t="n">
        <v>320</v>
      </c>
      <c r="G88" s="8" t="n">
        <v>46</v>
      </c>
      <c r="H88" s="8" t="n">
        <v>366</v>
      </c>
      <c r="I88" s="34" t="n">
        <f aca="false">ROUND(F88/H88*100,0)/100</f>
        <v>0.87</v>
      </c>
      <c r="J88" s="8" t="str">
        <f aca="false">IF(I88&gt;=Summary!$L$6,"Eligible","Shortage")</f>
        <v>Eligible</v>
      </c>
      <c r="K88" s="8" t="str">
        <f aca="false">IF(I88&lt;Summary!$L$8,"YES","No")</f>
        <v>No</v>
      </c>
      <c r="L88" s="8" t="str">
        <f aca="false">IF(I88&gt;=Summary!$L$7,"Counted","Not Counted")</f>
        <v>Counted</v>
      </c>
      <c r="M88" s="13" t="n">
        <f aca="false">IF(I88&gt;=Summary!$L$6,20,ROUND(I88/Summary!$L$6*10,1)*2)</f>
        <v>20</v>
      </c>
      <c r="N88" s="35" t="n">
        <f aca="false">20-M88</f>
        <v>0</v>
      </c>
      <c r="O88" s="8" t="str">
        <f aca="false">IF(I88&gt;=Summary!$L$6,"75%+ (all benefits)",IF(I88&gt;=Summary!$L$7,"55–74%",IF(I88&gt;=Summary!$L$8,"30–54%","Below 30%")))</f>
        <v>75%+ (all benefits)</v>
      </c>
    </row>
    <row r="89" customFormat="false" ht="15" hidden="false" customHeight="false" outlineLevel="0" collapsed="false">
      <c r="A89" s="36" t="n">
        <v>84</v>
      </c>
      <c r="B89" s="36" t="s">
        <v>21</v>
      </c>
      <c r="C89" s="36" t="s">
        <v>235</v>
      </c>
      <c r="D89" s="37" t="s">
        <v>236</v>
      </c>
      <c r="E89" s="38" t="n">
        <v>46300</v>
      </c>
      <c r="F89" s="36" t="n">
        <v>301</v>
      </c>
      <c r="G89" s="36" t="n">
        <v>74</v>
      </c>
      <c r="H89" s="36" t="n">
        <v>375</v>
      </c>
      <c r="I89" s="34" t="n">
        <f aca="false">ROUND(F89/H89*100,0)/100</f>
        <v>0.8</v>
      </c>
      <c r="J89" s="8" t="str">
        <f aca="false">IF(I89&gt;=Summary!$L$6,"Eligible","Shortage")</f>
        <v>Eligible</v>
      </c>
      <c r="K89" s="8" t="str">
        <f aca="false">IF(I89&lt;Summary!$L$8,"YES","No")</f>
        <v>No</v>
      </c>
      <c r="L89" s="8" t="str">
        <f aca="false">IF(I89&gt;=Summary!$L$7,"Counted","Not Counted")</f>
        <v>Counted</v>
      </c>
      <c r="M89" s="13" t="n">
        <f aca="false">IF(I89&gt;=Summary!$L$6,20,ROUND(I89/Summary!$L$6*10,1)*2)</f>
        <v>20</v>
      </c>
      <c r="N89" s="35" t="n">
        <f aca="false">20-M89</f>
        <v>0</v>
      </c>
      <c r="O89" s="8" t="str">
        <f aca="false">IF(I89&gt;=Summary!$L$6,"75%+ (all benefits)",IF(I89&gt;=Summary!$L$7,"55–74%",IF(I89&gt;=Summary!$L$8,"30–54%","Below 30%")))</f>
        <v>75%+ (all benefits)</v>
      </c>
    </row>
    <row r="90" customFormat="false" ht="15" hidden="false" customHeight="false" outlineLevel="0" collapsed="false">
      <c r="A90" s="8" t="n">
        <v>85</v>
      </c>
      <c r="B90" s="8" t="s">
        <v>21</v>
      </c>
      <c r="C90" s="8" t="s">
        <v>237</v>
      </c>
      <c r="D90" s="30" t="s">
        <v>238</v>
      </c>
      <c r="E90" s="9" t="n">
        <v>46300</v>
      </c>
      <c r="F90" s="8" t="n">
        <v>284</v>
      </c>
      <c r="G90" s="8" t="n">
        <v>82</v>
      </c>
      <c r="H90" s="8" t="n">
        <v>366</v>
      </c>
      <c r="I90" s="34" t="n">
        <f aca="false">ROUND(F90/H90*100,0)/100</f>
        <v>0.78</v>
      </c>
      <c r="J90" s="8" t="str">
        <f aca="false">IF(I90&gt;=Summary!$L$6,"Eligible","Shortage")</f>
        <v>Eligible</v>
      </c>
      <c r="K90" s="8" t="str">
        <f aca="false">IF(I90&lt;Summary!$L$8,"YES","No")</f>
        <v>No</v>
      </c>
      <c r="L90" s="8" t="str">
        <f aca="false">IF(I90&gt;=Summary!$L$7,"Counted","Not Counted")</f>
        <v>Counted</v>
      </c>
      <c r="M90" s="13" t="n">
        <f aca="false">IF(I90&gt;=Summary!$L$6,20,ROUND(I90/Summary!$L$6*10,1)*2)</f>
        <v>20</v>
      </c>
      <c r="N90" s="35" t="n">
        <f aca="false">20-M90</f>
        <v>0</v>
      </c>
      <c r="O90" s="8" t="str">
        <f aca="false">IF(I90&gt;=Summary!$L$6,"75%+ (all benefits)",IF(I90&gt;=Summary!$L$7,"55–74%",IF(I90&gt;=Summary!$L$8,"30–54%","Below 30%")))</f>
        <v>75%+ (all benefits)</v>
      </c>
    </row>
    <row r="91" customFormat="false" ht="15" hidden="false" customHeight="false" outlineLevel="0" collapsed="false">
      <c r="A91" s="36" t="n">
        <v>86</v>
      </c>
      <c r="B91" s="36" t="s">
        <v>21</v>
      </c>
      <c r="C91" s="36" t="s">
        <v>239</v>
      </c>
      <c r="D91" s="37" t="s">
        <v>240</v>
      </c>
      <c r="E91" s="38" t="n">
        <v>46300</v>
      </c>
      <c r="F91" s="36" t="n">
        <v>265</v>
      </c>
      <c r="G91" s="36" t="n">
        <v>101</v>
      </c>
      <c r="H91" s="36" t="n">
        <v>366</v>
      </c>
      <c r="I91" s="34" t="n">
        <f aca="false">ROUND(F91/H91*100,0)/100</f>
        <v>0.72</v>
      </c>
      <c r="J91" s="8" t="str">
        <f aca="false">IF(I91&gt;=Summary!$L$6,"Eligible","Shortage")</f>
        <v>Shortage</v>
      </c>
      <c r="K91" s="8" t="str">
        <f aca="false">IF(I91&lt;Summary!$L$8,"YES","No")</f>
        <v>No</v>
      </c>
      <c r="L91" s="8" t="str">
        <f aca="false">IF(I91&gt;=Summary!$L$7,"Counted","Not Counted")</f>
        <v>Counted</v>
      </c>
      <c r="M91" s="13" t="n">
        <f aca="false">IF(I91&gt;=Summary!$L$6,20,ROUND(I91/Summary!$L$6*10,1)*2)</f>
        <v>19.2</v>
      </c>
      <c r="N91" s="35" t="n">
        <f aca="false">20-M91</f>
        <v>0.800000000000001</v>
      </c>
      <c r="O91" s="8" t="str">
        <f aca="false">IF(I91&gt;=Summary!$L$6,"75%+ (all benefits)",IF(I91&gt;=Summary!$L$7,"55–74%",IF(I91&gt;=Summary!$L$8,"30–54%","Below 30%")))</f>
        <v>55–74%</v>
      </c>
    </row>
    <row r="92" customFormat="false" ht="15" hidden="false" customHeight="false" outlineLevel="0" collapsed="false">
      <c r="A92" s="8" t="n">
        <v>87</v>
      </c>
      <c r="B92" s="8" t="s">
        <v>21</v>
      </c>
      <c r="C92" s="8" t="s">
        <v>241</v>
      </c>
      <c r="D92" s="30" t="s">
        <v>242</v>
      </c>
      <c r="E92" s="9" t="n">
        <v>46300</v>
      </c>
      <c r="F92" s="8" t="n">
        <v>281</v>
      </c>
      <c r="G92" s="8" t="n">
        <v>85</v>
      </c>
      <c r="H92" s="8" t="n">
        <v>366</v>
      </c>
      <c r="I92" s="34" t="n">
        <f aca="false">ROUND(F92/H92*100,0)/100</f>
        <v>0.77</v>
      </c>
      <c r="J92" s="8" t="str">
        <f aca="false">IF(I92&gt;=Summary!$L$6,"Eligible","Shortage")</f>
        <v>Eligible</v>
      </c>
      <c r="K92" s="8" t="str">
        <f aca="false">IF(I92&lt;Summary!$L$8,"YES","No")</f>
        <v>No</v>
      </c>
      <c r="L92" s="8" t="str">
        <f aca="false">IF(I92&gt;=Summary!$L$7,"Counted","Not Counted")</f>
        <v>Counted</v>
      </c>
      <c r="M92" s="13" t="n">
        <f aca="false">IF(I92&gt;=Summary!$L$6,20,ROUND(I92/Summary!$L$6*10,1)*2)</f>
        <v>20</v>
      </c>
      <c r="N92" s="35" t="n">
        <f aca="false">20-M92</f>
        <v>0</v>
      </c>
      <c r="O92" s="8" t="str">
        <f aca="false">IF(I92&gt;=Summary!$L$6,"75%+ (all benefits)",IF(I92&gt;=Summary!$L$7,"55–74%",IF(I92&gt;=Summary!$L$8,"30–54%","Below 30%")))</f>
        <v>75%+ (all benefits)</v>
      </c>
    </row>
    <row r="93" customFormat="false" ht="15" hidden="false" customHeight="false" outlineLevel="0" collapsed="false">
      <c r="A93" s="36" t="n">
        <v>88</v>
      </c>
      <c r="B93" s="36" t="s">
        <v>21</v>
      </c>
      <c r="C93" s="36" t="s">
        <v>243</v>
      </c>
      <c r="D93" s="37" t="s">
        <v>244</v>
      </c>
      <c r="E93" s="38" t="n">
        <v>46300</v>
      </c>
      <c r="F93" s="36" t="n">
        <v>281</v>
      </c>
      <c r="G93" s="36" t="n">
        <v>94</v>
      </c>
      <c r="H93" s="36" t="n">
        <v>375</v>
      </c>
      <c r="I93" s="34" t="n">
        <f aca="false">ROUND(F93/H93*100,0)/100</f>
        <v>0.75</v>
      </c>
      <c r="J93" s="8" t="str">
        <f aca="false">IF(I93&gt;=Summary!$L$6,"Eligible","Shortage")</f>
        <v>Eligible</v>
      </c>
      <c r="K93" s="8" t="str">
        <f aca="false">IF(I93&lt;Summary!$L$8,"YES","No")</f>
        <v>No</v>
      </c>
      <c r="L93" s="8" t="str">
        <f aca="false">IF(I93&gt;=Summary!$L$7,"Counted","Not Counted")</f>
        <v>Counted</v>
      </c>
      <c r="M93" s="13" t="n">
        <f aca="false">IF(I93&gt;=Summary!$L$6,20,ROUND(I93/Summary!$L$6*10,1)*2)</f>
        <v>20</v>
      </c>
      <c r="N93" s="35" t="n">
        <f aca="false">20-M93</f>
        <v>0</v>
      </c>
      <c r="O93" s="8" t="str">
        <f aca="false">IF(I93&gt;=Summary!$L$6,"75%+ (all benefits)",IF(I93&gt;=Summary!$L$7,"55–74%",IF(I93&gt;=Summary!$L$8,"30–54%","Below 30%")))</f>
        <v>75%+ (all benefits)</v>
      </c>
    </row>
    <row r="94" customFormat="false" ht="15" hidden="false" customHeight="false" outlineLevel="0" collapsed="false">
      <c r="A94" s="8" t="n">
        <v>89</v>
      </c>
      <c r="B94" s="8" t="s">
        <v>21</v>
      </c>
      <c r="C94" s="8" t="s">
        <v>245</v>
      </c>
      <c r="D94" s="30" t="s">
        <v>246</v>
      </c>
      <c r="E94" s="9" t="n">
        <v>46300</v>
      </c>
      <c r="F94" s="8" t="n">
        <v>301</v>
      </c>
      <c r="G94" s="8" t="n">
        <v>65</v>
      </c>
      <c r="H94" s="8" t="n">
        <v>366</v>
      </c>
      <c r="I94" s="34" t="n">
        <f aca="false">ROUND(F94/H94*100,0)/100</f>
        <v>0.82</v>
      </c>
      <c r="J94" s="8" t="str">
        <f aca="false">IF(I94&gt;=Summary!$L$6,"Eligible","Shortage")</f>
        <v>Eligible</v>
      </c>
      <c r="K94" s="8" t="str">
        <f aca="false">IF(I94&lt;Summary!$L$8,"YES","No")</f>
        <v>No</v>
      </c>
      <c r="L94" s="8" t="str">
        <f aca="false">IF(I94&gt;=Summary!$L$7,"Counted","Not Counted")</f>
        <v>Counted</v>
      </c>
      <c r="M94" s="13" t="n">
        <f aca="false">IF(I94&gt;=Summary!$L$6,20,ROUND(I94/Summary!$L$6*10,1)*2)</f>
        <v>20</v>
      </c>
      <c r="N94" s="35" t="n">
        <f aca="false">20-M94</f>
        <v>0</v>
      </c>
      <c r="O94" s="8" t="str">
        <f aca="false">IF(I94&gt;=Summary!$L$6,"75%+ (all benefits)",IF(I94&gt;=Summary!$L$7,"55–74%",IF(I94&gt;=Summary!$L$8,"30–54%","Below 30%")))</f>
        <v>75%+ (all benefits)</v>
      </c>
    </row>
    <row r="95" customFormat="false" ht="15" hidden="false" customHeight="false" outlineLevel="0" collapsed="false">
      <c r="A95" s="36" t="n">
        <v>90</v>
      </c>
      <c r="B95" s="36" t="s">
        <v>21</v>
      </c>
      <c r="C95" s="36" t="s">
        <v>247</v>
      </c>
      <c r="D95" s="37" t="s">
        <v>248</v>
      </c>
      <c r="E95" s="38" t="n">
        <v>46300</v>
      </c>
      <c r="F95" s="36" t="n">
        <v>254</v>
      </c>
      <c r="G95" s="36" t="n">
        <v>112</v>
      </c>
      <c r="H95" s="36" t="n">
        <v>366</v>
      </c>
      <c r="I95" s="34" t="n">
        <f aca="false">ROUND(F95/H95*100,0)/100</f>
        <v>0.69</v>
      </c>
      <c r="J95" s="8" t="str">
        <f aca="false">IF(I95&gt;=Summary!$L$6,"Eligible","Shortage")</f>
        <v>Shortage</v>
      </c>
      <c r="K95" s="8" t="str">
        <f aca="false">IF(I95&lt;Summary!$L$8,"YES","No")</f>
        <v>No</v>
      </c>
      <c r="L95" s="8" t="str">
        <f aca="false">IF(I95&gt;=Summary!$L$7,"Counted","Not Counted")</f>
        <v>Counted</v>
      </c>
      <c r="M95" s="13" t="n">
        <f aca="false">IF(I95&gt;=Summary!$L$6,20,ROUND(I95/Summary!$L$6*10,1)*2)</f>
        <v>18.4</v>
      </c>
      <c r="N95" s="35" t="n">
        <f aca="false">20-M95</f>
        <v>1.6</v>
      </c>
      <c r="O95" s="8" t="str">
        <f aca="false">IF(I95&gt;=Summary!$L$6,"75%+ (all benefits)",IF(I95&gt;=Summary!$L$7,"55–74%",IF(I95&gt;=Summary!$L$8,"30–54%","Below 30%")))</f>
        <v>55–74%</v>
      </c>
    </row>
    <row r="96" customFormat="false" ht="15" hidden="false" customHeight="false" outlineLevel="0" collapsed="false">
      <c r="A96" s="8" t="n">
        <v>91</v>
      </c>
      <c r="B96" s="8" t="s">
        <v>21</v>
      </c>
      <c r="C96" s="8" t="s">
        <v>249</v>
      </c>
      <c r="D96" s="30" t="s">
        <v>250</v>
      </c>
      <c r="E96" s="9" t="n">
        <v>46300</v>
      </c>
      <c r="F96" s="8" t="n">
        <v>177</v>
      </c>
      <c r="G96" s="8" t="n">
        <v>189</v>
      </c>
      <c r="H96" s="8" t="n">
        <v>366</v>
      </c>
      <c r="I96" s="34" t="n">
        <f aca="false">ROUND(F96/H96*100,0)/100</f>
        <v>0.48</v>
      </c>
      <c r="J96" s="8" t="str">
        <f aca="false">IF(I96&gt;=Summary!$L$6,"Eligible","Shortage")</f>
        <v>Shortage</v>
      </c>
      <c r="K96" s="8" t="str">
        <f aca="false">IF(I96&lt;Summary!$L$8,"YES","No")</f>
        <v>No</v>
      </c>
      <c r="L96" s="8" t="str">
        <f aca="false">IF(I96&gt;=Summary!$L$7,"Counted","Not Counted")</f>
        <v>Not Counted</v>
      </c>
      <c r="M96" s="13" t="n">
        <f aca="false">IF(I96&gt;=Summary!$L$6,20,ROUND(I96/Summary!$L$6*10,1)*2)</f>
        <v>12.8</v>
      </c>
      <c r="N96" s="35" t="n">
        <f aca="false">20-M96</f>
        <v>7.2</v>
      </c>
      <c r="O96" s="8" t="str">
        <f aca="false">IF(I96&gt;=Summary!$L$6,"75%+ (all benefits)",IF(I96&gt;=Summary!$L$7,"55–74%",IF(I96&gt;=Summary!$L$8,"30–54%","Below 30%")))</f>
        <v>30–54%</v>
      </c>
    </row>
    <row r="97" customFormat="false" ht="15" hidden="false" customHeight="false" outlineLevel="0" collapsed="false">
      <c r="A97" s="36" t="n">
        <v>92</v>
      </c>
      <c r="B97" s="36" t="s">
        <v>21</v>
      </c>
      <c r="C97" s="36" t="s">
        <v>251</v>
      </c>
      <c r="D97" s="37" t="s">
        <v>252</v>
      </c>
      <c r="E97" s="38" t="n">
        <v>46300</v>
      </c>
      <c r="F97" s="36" t="n">
        <v>224</v>
      </c>
      <c r="G97" s="36" t="n">
        <v>142</v>
      </c>
      <c r="H97" s="36" t="n">
        <v>366</v>
      </c>
      <c r="I97" s="34" t="n">
        <f aca="false">ROUND(F97/H97*100,0)/100</f>
        <v>0.61</v>
      </c>
      <c r="J97" s="8" t="str">
        <f aca="false">IF(I97&gt;=Summary!$L$6,"Eligible","Shortage")</f>
        <v>Shortage</v>
      </c>
      <c r="K97" s="8" t="str">
        <f aca="false">IF(I97&lt;Summary!$L$8,"YES","No")</f>
        <v>No</v>
      </c>
      <c r="L97" s="8" t="str">
        <f aca="false">IF(I97&gt;=Summary!$L$7,"Counted","Not Counted")</f>
        <v>Counted</v>
      </c>
      <c r="M97" s="13" t="n">
        <f aca="false">IF(I97&gt;=Summary!$L$6,20,ROUND(I97/Summary!$L$6*10,1)*2)</f>
        <v>16.2</v>
      </c>
      <c r="N97" s="35" t="n">
        <f aca="false">20-M97</f>
        <v>3.8</v>
      </c>
      <c r="O97" s="8" t="str">
        <f aca="false">IF(I97&gt;=Summary!$L$6,"75%+ (all benefits)",IF(I97&gt;=Summary!$L$7,"55–74%",IF(I97&gt;=Summary!$L$8,"30–54%","Below 30%")))</f>
        <v>55–74%</v>
      </c>
    </row>
    <row r="98" customFormat="false" ht="15" hidden="false" customHeight="false" outlineLevel="0" collapsed="false">
      <c r="A98" s="8" t="n">
        <v>93</v>
      </c>
      <c r="B98" s="8" t="s">
        <v>21</v>
      </c>
      <c r="C98" s="8" t="s">
        <v>253</v>
      </c>
      <c r="D98" s="30" t="s">
        <v>254</v>
      </c>
      <c r="E98" s="9" t="n">
        <v>46300</v>
      </c>
      <c r="F98" s="8" t="n">
        <v>252</v>
      </c>
      <c r="G98" s="8" t="n">
        <v>114</v>
      </c>
      <c r="H98" s="8" t="n">
        <v>366</v>
      </c>
      <c r="I98" s="34" t="n">
        <f aca="false">ROUND(F98/H98*100,0)/100</f>
        <v>0.69</v>
      </c>
      <c r="J98" s="8" t="str">
        <f aca="false">IF(I98&gt;=Summary!$L$6,"Eligible","Shortage")</f>
        <v>Shortage</v>
      </c>
      <c r="K98" s="8" t="str">
        <f aca="false">IF(I98&lt;Summary!$L$8,"YES","No")</f>
        <v>No</v>
      </c>
      <c r="L98" s="8" t="str">
        <f aca="false">IF(I98&gt;=Summary!$L$7,"Counted","Not Counted")</f>
        <v>Counted</v>
      </c>
      <c r="M98" s="13" t="n">
        <f aca="false">IF(I98&gt;=Summary!$L$6,20,ROUND(I98/Summary!$L$6*10,1)*2)</f>
        <v>18.4</v>
      </c>
      <c r="N98" s="35" t="n">
        <f aca="false">20-M98</f>
        <v>1.6</v>
      </c>
      <c r="O98" s="8" t="str">
        <f aca="false">IF(I98&gt;=Summary!$L$6,"75%+ (all benefits)",IF(I98&gt;=Summary!$L$7,"55–74%",IF(I98&gt;=Summary!$L$8,"30–54%","Below 30%")))</f>
        <v>55–74%</v>
      </c>
    </row>
    <row r="99" customFormat="false" ht="15" hidden="false" customHeight="false" outlineLevel="0" collapsed="false">
      <c r="A99" s="36" t="n">
        <v>94</v>
      </c>
      <c r="B99" s="36" t="s">
        <v>21</v>
      </c>
      <c r="C99" s="36" t="s">
        <v>255</v>
      </c>
      <c r="D99" s="37" t="s">
        <v>256</v>
      </c>
      <c r="E99" s="38" t="n">
        <v>46300</v>
      </c>
      <c r="F99" s="36" t="n">
        <v>300</v>
      </c>
      <c r="G99" s="36" t="n">
        <v>66</v>
      </c>
      <c r="H99" s="36" t="n">
        <v>366</v>
      </c>
      <c r="I99" s="34" t="n">
        <f aca="false">ROUND(F99/H99*100,0)/100</f>
        <v>0.82</v>
      </c>
      <c r="J99" s="8" t="str">
        <f aca="false">IF(I99&gt;=Summary!$L$6,"Eligible","Shortage")</f>
        <v>Eligible</v>
      </c>
      <c r="K99" s="8" t="str">
        <f aca="false">IF(I99&lt;Summary!$L$8,"YES","No")</f>
        <v>No</v>
      </c>
      <c r="L99" s="8" t="str">
        <f aca="false">IF(I99&gt;=Summary!$L$7,"Counted","Not Counted")</f>
        <v>Counted</v>
      </c>
      <c r="M99" s="13" t="n">
        <f aca="false">IF(I99&gt;=Summary!$L$6,20,ROUND(I99/Summary!$L$6*10,1)*2)</f>
        <v>20</v>
      </c>
      <c r="N99" s="35" t="n">
        <f aca="false">20-M99</f>
        <v>0</v>
      </c>
      <c r="O99" s="8" t="str">
        <f aca="false">IF(I99&gt;=Summary!$L$6,"75%+ (all benefits)",IF(I99&gt;=Summary!$L$7,"55–74%",IF(I99&gt;=Summary!$L$8,"30–54%","Below 30%")))</f>
        <v>75%+ (all benefits)</v>
      </c>
    </row>
    <row r="100" customFormat="false" ht="15" hidden="false" customHeight="false" outlineLevel="0" collapsed="false">
      <c r="A100" s="8" t="n">
        <v>95</v>
      </c>
      <c r="B100" s="8" t="s">
        <v>21</v>
      </c>
      <c r="C100" s="8" t="s">
        <v>55</v>
      </c>
      <c r="D100" s="30" t="s">
        <v>56</v>
      </c>
      <c r="E100" s="9" t="n">
        <v>46300</v>
      </c>
      <c r="F100" s="8" t="n">
        <v>56</v>
      </c>
      <c r="G100" s="8" t="n">
        <v>310</v>
      </c>
      <c r="H100" s="8" t="n">
        <v>366</v>
      </c>
      <c r="I100" s="34" t="n">
        <f aca="false">ROUND(F100/H100*100,0)/100</f>
        <v>0.15</v>
      </c>
      <c r="J100" s="8" t="str">
        <f aca="false">IF(I100&gt;=Summary!$L$6,"Eligible","Shortage")</f>
        <v>Shortage</v>
      </c>
      <c r="K100" s="8" t="str">
        <f aca="false">IF(I100&lt;Summary!$L$8,"YES","No")</f>
        <v>YES</v>
      </c>
      <c r="L100" s="8" t="str">
        <f aca="false">IF(I100&gt;=Summary!$L$7,"Counted","Not Counted")</f>
        <v>Not Counted</v>
      </c>
      <c r="M100" s="13" t="n">
        <f aca="false">IF(I100&gt;=Summary!$L$6,20,ROUND(I100/Summary!$L$6*10,1)*2)</f>
        <v>4</v>
      </c>
      <c r="N100" s="35" t="n">
        <f aca="false">20-M100</f>
        <v>16</v>
      </c>
      <c r="O100" s="8" t="str">
        <f aca="false">IF(I100&gt;=Summary!$L$6,"75%+ (all benefits)",IF(I100&gt;=Summary!$L$7,"55–74%",IF(I100&gt;=Summary!$L$8,"30–54%","Below 30%")))</f>
        <v>Below 30%</v>
      </c>
    </row>
    <row r="101" customFormat="false" ht="15" hidden="false" customHeight="false" outlineLevel="0" collapsed="false">
      <c r="A101" s="36" t="n">
        <v>96</v>
      </c>
      <c r="B101" s="36" t="s">
        <v>21</v>
      </c>
      <c r="C101" s="36" t="s">
        <v>257</v>
      </c>
      <c r="D101" s="37" t="s">
        <v>258</v>
      </c>
      <c r="E101" s="38" t="n">
        <v>46300</v>
      </c>
      <c r="F101" s="36" t="n">
        <v>302</v>
      </c>
      <c r="G101" s="36" t="n">
        <v>64</v>
      </c>
      <c r="H101" s="36" t="n">
        <v>366</v>
      </c>
      <c r="I101" s="34" t="n">
        <f aca="false">ROUND(F101/H101*100,0)/100</f>
        <v>0.83</v>
      </c>
      <c r="J101" s="8" t="str">
        <f aca="false">IF(I101&gt;=Summary!$L$6,"Eligible","Shortage")</f>
        <v>Eligible</v>
      </c>
      <c r="K101" s="8" t="str">
        <f aca="false">IF(I101&lt;Summary!$L$8,"YES","No")</f>
        <v>No</v>
      </c>
      <c r="L101" s="8" t="str">
        <f aca="false">IF(I101&gt;=Summary!$L$7,"Counted","Not Counted")</f>
        <v>Counted</v>
      </c>
      <c r="M101" s="13" t="n">
        <f aca="false">IF(I101&gt;=Summary!$L$6,20,ROUND(I101/Summary!$L$6*10,1)*2)</f>
        <v>20</v>
      </c>
      <c r="N101" s="35" t="n">
        <f aca="false">20-M101</f>
        <v>0</v>
      </c>
      <c r="O101" s="8" t="str">
        <f aca="false">IF(I101&gt;=Summary!$L$6,"75%+ (all benefits)",IF(I101&gt;=Summary!$L$7,"55–74%",IF(I101&gt;=Summary!$L$8,"30–54%","Below 30%")))</f>
        <v>75%+ (all benefits)</v>
      </c>
    </row>
    <row r="102" customFormat="false" ht="15" hidden="false" customHeight="false" outlineLevel="0" collapsed="false">
      <c r="A102" s="8" t="n">
        <v>97</v>
      </c>
      <c r="B102" s="8" t="s">
        <v>21</v>
      </c>
      <c r="C102" s="8" t="s">
        <v>259</v>
      </c>
      <c r="D102" s="30"/>
      <c r="E102" s="9" t="n">
        <v>46300</v>
      </c>
      <c r="F102" s="8" t="n">
        <v>296</v>
      </c>
      <c r="G102" s="8" t="n">
        <v>79</v>
      </c>
      <c r="H102" s="8" t="n">
        <v>375</v>
      </c>
      <c r="I102" s="34" t="n">
        <f aca="false">ROUND(F102/H102*100,0)/100</f>
        <v>0.79</v>
      </c>
      <c r="J102" s="8" t="str">
        <f aca="false">IF(I102&gt;=Summary!$L$6,"Eligible","Shortage")</f>
        <v>Eligible</v>
      </c>
      <c r="K102" s="8" t="str">
        <f aca="false">IF(I102&lt;Summary!$L$8,"YES","No")</f>
        <v>No</v>
      </c>
      <c r="L102" s="8" t="str">
        <f aca="false">IF(I102&gt;=Summary!$L$7,"Counted","Not Counted")</f>
        <v>Counted</v>
      </c>
      <c r="M102" s="13" t="n">
        <f aca="false">IF(I102&gt;=Summary!$L$6,20,ROUND(I102/Summary!$L$6*10,1)*2)</f>
        <v>20</v>
      </c>
      <c r="N102" s="35" t="n">
        <f aca="false">20-M102</f>
        <v>0</v>
      </c>
      <c r="O102" s="8" t="str">
        <f aca="false">IF(I102&gt;=Summary!$L$6,"75%+ (all benefits)",IF(I102&gt;=Summary!$L$7,"55–74%",IF(I102&gt;=Summary!$L$8,"30–54%","Below 30%")))</f>
        <v>75%+ (all benefits)</v>
      </c>
    </row>
    <row r="103" customFormat="false" ht="15" hidden="false" customHeight="false" outlineLevel="0" collapsed="false">
      <c r="A103" s="36" t="n">
        <v>98</v>
      </c>
      <c r="B103" s="36" t="s">
        <v>21</v>
      </c>
      <c r="C103" s="36" t="s">
        <v>260</v>
      </c>
      <c r="D103" s="37" t="s">
        <v>261</v>
      </c>
      <c r="E103" s="38" t="n">
        <v>46300</v>
      </c>
      <c r="F103" s="36" t="n">
        <v>254</v>
      </c>
      <c r="G103" s="36" t="n">
        <v>112</v>
      </c>
      <c r="H103" s="36" t="n">
        <v>366</v>
      </c>
      <c r="I103" s="34" t="n">
        <f aca="false">ROUND(F103/H103*100,0)/100</f>
        <v>0.69</v>
      </c>
      <c r="J103" s="8" t="str">
        <f aca="false">IF(I103&gt;=Summary!$L$6,"Eligible","Shortage")</f>
        <v>Shortage</v>
      </c>
      <c r="K103" s="8" t="str">
        <f aca="false">IF(I103&lt;Summary!$L$8,"YES","No")</f>
        <v>No</v>
      </c>
      <c r="L103" s="8" t="str">
        <f aca="false">IF(I103&gt;=Summary!$L$7,"Counted","Not Counted")</f>
        <v>Counted</v>
      </c>
      <c r="M103" s="13" t="n">
        <f aca="false">IF(I103&gt;=Summary!$L$6,20,ROUND(I103/Summary!$L$6*10,1)*2)</f>
        <v>18.4</v>
      </c>
      <c r="N103" s="35" t="n">
        <f aca="false">20-M103</f>
        <v>1.6</v>
      </c>
      <c r="O103" s="8" t="str">
        <f aca="false">IF(I103&gt;=Summary!$L$6,"75%+ (all benefits)",IF(I103&gt;=Summary!$L$7,"55–74%",IF(I103&gt;=Summary!$L$8,"30–54%","Below 30%")))</f>
        <v>55–74%</v>
      </c>
    </row>
    <row r="104" customFormat="false" ht="15" hidden="false" customHeight="false" outlineLevel="0" collapsed="false">
      <c r="A104" s="8" t="n">
        <v>99</v>
      </c>
      <c r="B104" s="8" t="s">
        <v>21</v>
      </c>
      <c r="C104" s="8" t="s">
        <v>262</v>
      </c>
      <c r="D104" s="30" t="s">
        <v>263</v>
      </c>
      <c r="E104" s="9" t="n">
        <v>46300</v>
      </c>
      <c r="F104" s="8" t="n">
        <v>296</v>
      </c>
      <c r="G104" s="8" t="n">
        <v>70</v>
      </c>
      <c r="H104" s="8" t="n">
        <v>366</v>
      </c>
      <c r="I104" s="34" t="n">
        <f aca="false">ROUND(F104/H104*100,0)/100</f>
        <v>0.81</v>
      </c>
      <c r="J104" s="8" t="str">
        <f aca="false">IF(I104&gt;=Summary!$L$6,"Eligible","Shortage")</f>
        <v>Eligible</v>
      </c>
      <c r="K104" s="8" t="str">
        <f aca="false">IF(I104&lt;Summary!$L$8,"YES","No")</f>
        <v>No</v>
      </c>
      <c r="L104" s="8" t="str">
        <f aca="false">IF(I104&gt;=Summary!$L$7,"Counted","Not Counted")</f>
        <v>Counted</v>
      </c>
      <c r="M104" s="13" t="n">
        <f aca="false">IF(I104&gt;=Summary!$L$6,20,ROUND(I104/Summary!$L$6*10,1)*2)</f>
        <v>20</v>
      </c>
      <c r="N104" s="35" t="n">
        <f aca="false">20-M104</f>
        <v>0</v>
      </c>
      <c r="O104" s="8" t="str">
        <f aca="false">IF(I104&gt;=Summary!$L$6,"75%+ (all benefits)",IF(I104&gt;=Summary!$L$7,"55–74%",IF(I104&gt;=Summary!$L$8,"30–54%","Below 30%")))</f>
        <v>75%+ (all benefits)</v>
      </c>
    </row>
    <row r="105" customFormat="false" ht="15" hidden="false" customHeight="false" outlineLevel="0" collapsed="false">
      <c r="A105" s="36" t="n">
        <v>100</v>
      </c>
      <c r="B105" s="36" t="s">
        <v>21</v>
      </c>
      <c r="C105" s="36" t="s">
        <v>264</v>
      </c>
      <c r="D105" s="37" t="s">
        <v>265</v>
      </c>
      <c r="E105" s="38" t="n">
        <v>46300</v>
      </c>
      <c r="F105" s="36" t="n">
        <v>259</v>
      </c>
      <c r="G105" s="36" t="n">
        <v>107</v>
      </c>
      <c r="H105" s="36" t="n">
        <v>366</v>
      </c>
      <c r="I105" s="34" t="n">
        <f aca="false">ROUND(F105/H105*100,0)/100</f>
        <v>0.71</v>
      </c>
      <c r="J105" s="8" t="str">
        <f aca="false">IF(I105&gt;=Summary!$L$6,"Eligible","Shortage")</f>
        <v>Shortage</v>
      </c>
      <c r="K105" s="8" t="str">
        <f aca="false">IF(I105&lt;Summary!$L$8,"YES","No")</f>
        <v>No</v>
      </c>
      <c r="L105" s="8" t="str">
        <f aca="false">IF(I105&gt;=Summary!$L$7,"Counted","Not Counted")</f>
        <v>Counted</v>
      </c>
      <c r="M105" s="13" t="n">
        <f aca="false">IF(I105&gt;=Summary!$L$6,20,ROUND(I105/Summary!$L$6*10,1)*2)</f>
        <v>19</v>
      </c>
      <c r="N105" s="35" t="n">
        <f aca="false">20-M105</f>
        <v>1</v>
      </c>
      <c r="O105" s="8" t="str">
        <f aca="false">IF(I105&gt;=Summary!$L$6,"75%+ (all benefits)",IF(I105&gt;=Summary!$L$7,"55–74%",IF(I105&gt;=Summary!$L$8,"30–54%","Below 30%")))</f>
        <v>55–74%</v>
      </c>
    </row>
    <row r="106" customFormat="false" ht="15" hidden="false" customHeight="false" outlineLevel="0" collapsed="false">
      <c r="A106" s="8" t="n">
        <v>101</v>
      </c>
      <c r="B106" s="8" t="s">
        <v>21</v>
      </c>
      <c r="C106" s="8" t="s">
        <v>266</v>
      </c>
      <c r="D106" s="30" t="s">
        <v>267</v>
      </c>
      <c r="E106" s="9" t="n">
        <v>46300</v>
      </c>
      <c r="F106" s="8" t="n">
        <v>226</v>
      </c>
      <c r="G106" s="8" t="n">
        <v>140</v>
      </c>
      <c r="H106" s="8" t="n">
        <v>366</v>
      </c>
      <c r="I106" s="34" t="n">
        <f aca="false">ROUND(F106/H106*100,0)/100</f>
        <v>0.62</v>
      </c>
      <c r="J106" s="8" t="str">
        <f aca="false">IF(I106&gt;=Summary!$L$6,"Eligible","Shortage")</f>
        <v>Shortage</v>
      </c>
      <c r="K106" s="8" t="str">
        <f aca="false">IF(I106&lt;Summary!$L$8,"YES","No")</f>
        <v>No</v>
      </c>
      <c r="L106" s="8" t="str">
        <f aca="false">IF(I106&gt;=Summary!$L$7,"Counted","Not Counted")</f>
        <v>Counted</v>
      </c>
      <c r="M106" s="13" t="n">
        <f aca="false">IF(I106&gt;=Summary!$L$6,20,ROUND(I106/Summary!$L$6*10,1)*2)</f>
        <v>16.6</v>
      </c>
      <c r="N106" s="35" t="n">
        <f aca="false">20-M106</f>
        <v>3.4</v>
      </c>
      <c r="O106" s="8" t="str">
        <f aca="false">IF(I106&gt;=Summary!$L$6,"75%+ (all benefits)",IF(I106&gt;=Summary!$L$7,"55–74%",IF(I106&gt;=Summary!$L$8,"30–54%","Below 30%")))</f>
        <v>55–74%</v>
      </c>
    </row>
    <row r="107" customFormat="false" ht="15" hidden="false" customHeight="false" outlineLevel="0" collapsed="false">
      <c r="A107" s="36" t="n">
        <v>102</v>
      </c>
      <c r="B107" s="36" t="s">
        <v>21</v>
      </c>
      <c r="C107" s="36" t="s">
        <v>268</v>
      </c>
      <c r="D107" s="37" t="s">
        <v>269</v>
      </c>
      <c r="E107" s="38" t="n">
        <v>46300</v>
      </c>
      <c r="F107" s="36" t="n">
        <v>266</v>
      </c>
      <c r="G107" s="36" t="n">
        <v>100</v>
      </c>
      <c r="H107" s="36" t="n">
        <v>366</v>
      </c>
      <c r="I107" s="34" t="n">
        <f aca="false">ROUND(F107/H107*100,0)/100</f>
        <v>0.73</v>
      </c>
      <c r="J107" s="8" t="str">
        <f aca="false">IF(I107&gt;=Summary!$L$6,"Eligible","Shortage")</f>
        <v>Shortage</v>
      </c>
      <c r="K107" s="8" t="str">
        <f aca="false">IF(I107&lt;Summary!$L$8,"YES","No")</f>
        <v>No</v>
      </c>
      <c r="L107" s="8" t="str">
        <f aca="false">IF(I107&gt;=Summary!$L$7,"Counted","Not Counted")</f>
        <v>Counted</v>
      </c>
      <c r="M107" s="13" t="n">
        <f aca="false">IF(I107&gt;=Summary!$L$6,20,ROUND(I107/Summary!$L$6*10,1)*2)</f>
        <v>19.4</v>
      </c>
      <c r="N107" s="35" t="n">
        <f aca="false">20-M107</f>
        <v>0.600000000000001</v>
      </c>
      <c r="O107" s="8" t="str">
        <f aca="false">IF(I107&gt;=Summary!$L$6,"75%+ (all benefits)",IF(I107&gt;=Summary!$L$7,"55–74%",IF(I107&gt;=Summary!$L$8,"30–54%","Below 30%")))</f>
        <v>55–74%</v>
      </c>
    </row>
    <row r="108" customFormat="false" ht="15" hidden="false" customHeight="false" outlineLevel="0" collapsed="false">
      <c r="A108" s="8" t="n">
        <v>103</v>
      </c>
      <c r="B108" s="8" t="s">
        <v>21</v>
      </c>
      <c r="C108" s="8" t="s">
        <v>270</v>
      </c>
      <c r="D108" s="30" t="s">
        <v>271</v>
      </c>
      <c r="E108" s="9" t="n">
        <v>46300</v>
      </c>
      <c r="F108" s="8" t="n">
        <v>300</v>
      </c>
      <c r="G108" s="8" t="n">
        <v>66</v>
      </c>
      <c r="H108" s="8" t="n">
        <v>366</v>
      </c>
      <c r="I108" s="34" t="n">
        <f aca="false">ROUND(F108/H108*100,0)/100</f>
        <v>0.82</v>
      </c>
      <c r="J108" s="8" t="str">
        <f aca="false">IF(I108&gt;=Summary!$L$6,"Eligible","Shortage")</f>
        <v>Eligible</v>
      </c>
      <c r="K108" s="8" t="str">
        <f aca="false">IF(I108&lt;Summary!$L$8,"YES","No")</f>
        <v>No</v>
      </c>
      <c r="L108" s="8" t="str">
        <f aca="false">IF(I108&gt;=Summary!$L$7,"Counted","Not Counted")</f>
        <v>Counted</v>
      </c>
      <c r="M108" s="13" t="n">
        <f aca="false">IF(I108&gt;=Summary!$L$6,20,ROUND(I108/Summary!$L$6*10,1)*2)</f>
        <v>20</v>
      </c>
      <c r="N108" s="35" t="n">
        <f aca="false">20-M108</f>
        <v>0</v>
      </c>
      <c r="O108" s="8" t="str">
        <f aca="false">IF(I108&gt;=Summary!$L$6,"75%+ (all benefits)",IF(I108&gt;=Summary!$L$7,"55–74%",IF(I108&gt;=Summary!$L$8,"30–54%","Below 30%")))</f>
        <v>75%+ (all benefits)</v>
      </c>
    </row>
    <row r="109" customFormat="false" ht="15" hidden="false" customHeight="false" outlineLevel="0" collapsed="false">
      <c r="A109" s="36" t="n">
        <v>104</v>
      </c>
      <c r="B109" s="36" t="s">
        <v>21</v>
      </c>
      <c r="C109" s="36" t="s">
        <v>272</v>
      </c>
      <c r="D109" s="37" t="s">
        <v>273</v>
      </c>
      <c r="E109" s="38" t="n">
        <v>46300</v>
      </c>
      <c r="F109" s="36" t="n">
        <v>262</v>
      </c>
      <c r="G109" s="36" t="n">
        <v>104</v>
      </c>
      <c r="H109" s="36" t="n">
        <v>366</v>
      </c>
      <c r="I109" s="34" t="n">
        <f aca="false">ROUND(F109/H109*100,0)/100</f>
        <v>0.72</v>
      </c>
      <c r="J109" s="8" t="str">
        <f aca="false">IF(I109&gt;=Summary!$L$6,"Eligible","Shortage")</f>
        <v>Shortage</v>
      </c>
      <c r="K109" s="8" t="str">
        <f aca="false">IF(I109&lt;Summary!$L$8,"YES","No")</f>
        <v>No</v>
      </c>
      <c r="L109" s="8" t="str">
        <f aca="false">IF(I109&gt;=Summary!$L$7,"Counted","Not Counted")</f>
        <v>Counted</v>
      </c>
      <c r="M109" s="13" t="n">
        <f aca="false">IF(I109&gt;=Summary!$L$6,20,ROUND(I109/Summary!$L$6*10,1)*2)</f>
        <v>19.2</v>
      </c>
      <c r="N109" s="35" t="n">
        <f aca="false">20-M109</f>
        <v>0.800000000000001</v>
      </c>
      <c r="O109" s="8" t="str">
        <f aca="false">IF(I109&gt;=Summary!$L$6,"75%+ (all benefits)",IF(I109&gt;=Summary!$L$7,"55–74%",IF(I109&gt;=Summary!$L$8,"30–54%","Below 30%")))</f>
        <v>55–74%</v>
      </c>
    </row>
    <row r="110" customFormat="false" ht="15" hidden="false" customHeight="false" outlineLevel="0" collapsed="false">
      <c r="A110" s="8" t="n">
        <v>105</v>
      </c>
      <c r="B110" s="8" t="s">
        <v>21</v>
      </c>
      <c r="C110" s="8" t="s">
        <v>274</v>
      </c>
      <c r="D110" s="30" t="s">
        <v>275</v>
      </c>
      <c r="E110" s="9" t="n">
        <v>46300</v>
      </c>
      <c r="F110" s="8" t="n">
        <v>281</v>
      </c>
      <c r="G110" s="8" t="n">
        <v>85</v>
      </c>
      <c r="H110" s="8" t="n">
        <v>366</v>
      </c>
      <c r="I110" s="34" t="n">
        <f aca="false">ROUND(F110/H110*100,0)/100</f>
        <v>0.77</v>
      </c>
      <c r="J110" s="8" t="str">
        <f aca="false">IF(I110&gt;=Summary!$L$6,"Eligible","Shortage")</f>
        <v>Eligible</v>
      </c>
      <c r="K110" s="8" t="str">
        <f aca="false">IF(I110&lt;Summary!$L$8,"YES","No")</f>
        <v>No</v>
      </c>
      <c r="L110" s="8" t="str">
        <f aca="false">IF(I110&gt;=Summary!$L$7,"Counted","Not Counted")</f>
        <v>Counted</v>
      </c>
      <c r="M110" s="13" t="n">
        <f aca="false">IF(I110&gt;=Summary!$L$6,20,ROUND(I110/Summary!$L$6*10,1)*2)</f>
        <v>20</v>
      </c>
      <c r="N110" s="35" t="n">
        <f aca="false">20-M110</f>
        <v>0</v>
      </c>
      <c r="O110" s="8" t="str">
        <f aca="false">IF(I110&gt;=Summary!$L$6,"75%+ (all benefits)",IF(I110&gt;=Summary!$L$7,"55–74%",IF(I110&gt;=Summary!$L$8,"30–54%","Below 30%")))</f>
        <v>75%+ (all benefits)</v>
      </c>
    </row>
    <row r="111" customFormat="false" ht="15" hidden="false" customHeight="false" outlineLevel="0" collapsed="false">
      <c r="A111" s="36" t="n">
        <v>106</v>
      </c>
      <c r="B111" s="36" t="s">
        <v>21</v>
      </c>
      <c r="C111" s="36" t="s">
        <v>276</v>
      </c>
      <c r="D111" s="37" t="s">
        <v>277</v>
      </c>
      <c r="E111" s="38" t="n">
        <v>46300</v>
      </c>
      <c r="F111" s="36" t="n">
        <v>311</v>
      </c>
      <c r="G111" s="36" t="n">
        <v>55</v>
      </c>
      <c r="H111" s="36" t="n">
        <v>366</v>
      </c>
      <c r="I111" s="34" t="n">
        <f aca="false">ROUND(F111/H111*100,0)/100</f>
        <v>0.85</v>
      </c>
      <c r="J111" s="8" t="str">
        <f aca="false">IF(I111&gt;=Summary!$L$6,"Eligible","Shortage")</f>
        <v>Eligible</v>
      </c>
      <c r="K111" s="8" t="str">
        <f aca="false">IF(I111&lt;Summary!$L$8,"YES","No")</f>
        <v>No</v>
      </c>
      <c r="L111" s="8" t="str">
        <f aca="false">IF(I111&gt;=Summary!$L$7,"Counted","Not Counted")</f>
        <v>Counted</v>
      </c>
      <c r="M111" s="13" t="n">
        <f aca="false">IF(I111&gt;=Summary!$L$6,20,ROUND(I111/Summary!$L$6*10,1)*2)</f>
        <v>20</v>
      </c>
      <c r="N111" s="35" t="n">
        <f aca="false">20-M111</f>
        <v>0</v>
      </c>
      <c r="O111" s="8" t="str">
        <f aca="false">IF(I111&gt;=Summary!$L$6,"75%+ (all benefits)",IF(I111&gt;=Summary!$L$7,"55–74%",IF(I111&gt;=Summary!$L$8,"30–54%","Below 30%")))</f>
        <v>75%+ (all benefits)</v>
      </c>
    </row>
    <row r="112" customFormat="false" ht="15" hidden="false" customHeight="false" outlineLevel="0" collapsed="false">
      <c r="A112" s="8" t="n">
        <v>107</v>
      </c>
      <c r="B112" s="8" t="s">
        <v>21</v>
      </c>
      <c r="C112" s="8" t="s">
        <v>278</v>
      </c>
      <c r="D112" s="30" t="s">
        <v>279</v>
      </c>
      <c r="E112" s="9" t="n">
        <v>46300</v>
      </c>
      <c r="F112" s="8" t="n">
        <v>293</v>
      </c>
      <c r="G112" s="8" t="n">
        <v>73</v>
      </c>
      <c r="H112" s="8" t="n">
        <v>366</v>
      </c>
      <c r="I112" s="34" t="n">
        <f aca="false">ROUND(F112/H112*100,0)/100</f>
        <v>0.8</v>
      </c>
      <c r="J112" s="8" t="str">
        <f aca="false">IF(I112&gt;=Summary!$L$6,"Eligible","Shortage")</f>
        <v>Eligible</v>
      </c>
      <c r="K112" s="8" t="str">
        <f aca="false">IF(I112&lt;Summary!$L$8,"YES","No")</f>
        <v>No</v>
      </c>
      <c r="L112" s="8" t="str">
        <f aca="false">IF(I112&gt;=Summary!$L$7,"Counted","Not Counted")</f>
        <v>Counted</v>
      </c>
      <c r="M112" s="13" t="n">
        <f aca="false">IF(I112&gt;=Summary!$L$6,20,ROUND(I112/Summary!$L$6*10,1)*2)</f>
        <v>20</v>
      </c>
      <c r="N112" s="35" t="n">
        <f aca="false">20-M112</f>
        <v>0</v>
      </c>
      <c r="O112" s="8" t="str">
        <f aca="false">IF(I112&gt;=Summary!$L$6,"75%+ (all benefits)",IF(I112&gt;=Summary!$L$7,"55–74%",IF(I112&gt;=Summary!$L$8,"30–54%","Below 30%")))</f>
        <v>75%+ (all benefits)</v>
      </c>
    </row>
    <row r="113" customFormat="false" ht="15" hidden="false" customHeight="false" outlineLevel="0" collapsed="false">
      <c r="A113" s="36" t="n">
        <v>108</v>
      </c>
      <c r="B113" s="36" t="s">
        <v>21</v>
      </c>
      <c r="C113" s="36" t="s">
        <v>280</v>
      </c>
      <c r="D113" s="37" t="s">
        <v>281</v>
      </c>
      <c r="E113" s="38" t="n">
        <v>46300</v>
      </c>
      <c r="F113" s="36" t="n">
        <v>253</v>
      </c>
      <c r="G113" s="36" t="n">
        <v>113</v>
      </c>
      <c r="H113" s="36" t="n">
        <v>366</v>
      </c>
      <c r="I113" s="34" t="n">
        <f aca="false">ROUND(F113/H113*100,0)/100</f>
        <v>0.69</v>
      </c>
      <c r="J113" s="8" t="str">
        <f aca="false">IF(I113&gt;=Summary!$L$6,"Eligible","Shortage")</f>
        <v>Shortage</v>
      </c>
      <c r="K113" s="8" t="str">
        <f aca="false">IF(I113&lt;Summary!$L$8,"YES","No")</f>
        <v>No</v>
      </c>
      <c r="L113" s="8" t="str">
        <f aca="false">IF(I113&gt;=Summary!$L$7,"Counted","Not Counted")</f>
        <v>Counted</v>
      </c>
      <c r="M113" s="13" t="n">
        <f aca="false">IF(I113&gt;=Summary!$L$6,20,ROUND(I113/Summary!$L$6*10,1)*2)</f>
        <v>18.4</v>
      </c>
      <c r="N113" s="35" t="n">
        <f aca="false">20-M113</f>
        <v>1.6</v>
      </c>
      <c r="O113" s="8" t="str">
        <f aca="false">IF(I113&gt;=Summary!$L$6,"75%+ (all benefits)",IF(I113&gt;=Summary!$L$7,"55–74%",IF(I113&gt;=Summary!$L$8,"30–54%","Below 30%")))</f>
        <v>55–74%</v>
      </c>
    </row>
    <row r="114" customFormat="false" ht="15" hidden="false" customHeight="false" outlineLevel="0" collapsed="false">
      <c r="A114" s="8" t="n">
        <v>109</v>
      </c>
      <c r="B114" s="8" t="s">
        <v>21</v>
      </c>
      <c r="C114" s="8" t="s">
        <v>282</v>
      </c>
      <c r="D114" s="30" t="s">
        <v>283</v>
      </c>
      <c r="E114" s="9" t="n">
        <v>46300</v>
      </c>
      <c r="F114" s="8" t="n">
        <v>298</v>
      </c>
      <c r="G114" s="8" t="n">
        <v>68</v>
      </c>
      <c r="H114" s="8" t="n">
        <v>366</v>
      </c>
      <c r="I114" s="34" t="n">
        <f aca="false">ROUND(F114/H114*100,0)/100</f>
        <v>0.81</v>
      </c>
      <c r="J114" s="8" t="str">
        <f aca="false">IF(I114&gt;=Summary!$L$6,"Eligible","Shortage")</f>
        <v>Eligible</v>
      </c>
      <c r="K114" s="8" t="str">
        <f aca="false">IF(I114&lt;Summary!$L$8,"YES","No")</f>
        <v>No</v>
      </c>
      <c r="L114" s="8" t="str">
        <f aca="false">IF(I114&gt;=Summary!$L$7,"Counted","Not Counted")</f>
        <v>Counted</v>
      </c>
      <c r="M114" s="13" t="n">
        <f aca="false">IF(I114&gt;=Summary!$L$6,20,ROUND(I114/Summary!$L$6*10,1)*2)</f>
        <v>20</v>
      </c>
      <c r="N114" s="35" t="n">
        <f aca="false">20-M114</f>
        <v>0</v>
      </c>
      <c r="O114" s="8" t="str">
        <f aca="false">IF(I114&gt;=Summary!$L$6,"75%+ (all benefits)",IF(I114&gt;=Summary!$L$7,"55–74%",IF(I114&gt;=Summary!$L$8,"30–54%","Below 30%")))</f>
        <v>75%+ (all benefits)</v>
      </c>
    </row>
    <row r="115" customFormat="false" ht="15" hidden="false" customHeight="false" outlineLevel="0" collapsed="false">
      <c r="A115" s="36" t="n">
        <v>110</v>
      </c>
      <c r="B115" s="36" t="s">
        <v>21</v>
      </c>
      <c r="C115" s="36" t="s">
        <v>284</v>
      </c>
      <c r="D115" s="37" t="s">
        <v>285</v>
      </c>
      <c r="E115" s="38" t="n">
        <v>46300</v>
      </c>
      <c r="F115" s="36" t="n">
        <v>284</v>
      </c>
      <c r="G115" s="36" t="n">
        <v>82</v>
      </c>
      <c r="H115" s="36" t="n">
        <v>366</v>
      </c>
      <c r="I115" s="34" t="n">
        <f aca="false">ROUND(F115/H115*100,0)/100</f>
        <v>0.78</v>
      </c>
      <c r="J115" s="8" t="str">
        <f aca="false">IF(I115&gt;=Summary!$L$6,"Eligible","Shortage")</f>
        <v>Eligible</v>
      </c>
      <c r="K115" s="8" t="str">
        <f aca="false">IF(I115&lt;Summary!$L$8,"YES","No")</f>
        <v>No</v>
      </c>
      <c r="L115" s="8" t="str">
        <f aca="false">IF(I115&gt;=Summary!$L$7,"Counted","Not Counted")</f>
        <v>Counted</v>
      </c>
      <c r="M115" s="13" t="n">
        <f aca="false">IF(I115&gt;=Summary!$L$6,20,ROUND(I115/Summary!$L$6*10,1)*2)</f>
        <v>20</v>
      </c>
      <c r="N115" s="35" t="n">
        <f aca="false">20-M115</f>
        <v>0</v>
      </c>
      <c r="O115" s="8" t="str">
        <f aca="false">IF(I115&gt;=Summary!$L$6,"75%+ (all benefits)",IF(I115&gt;=Summary!$L$7,"55–74%",IF(I115&gt;=Summary!$L$8,"30–54%","Below 30%")))</f>
        <v>75%+ (all benefits)</v>
      </c>
    </row>
    <row r="116" customFormat="false" ht="15" hidden="false" customHeight="false" outlineLevel="0" collapsed="false">
      <c r="A116" s="8" t="n">
        <v>111</v>
      </c>
      <c r="B116" s="8" t="s">
        <v>21</v>
      </c>
      <c r="C116" s="8" t="s">
        <v>286</v>
      </c>
      <c r="D116" s="30" t="s">
        <v>287</v>
      </c>
      <c r="E116" s="9" t="n">
        <v>46300</v>
      </c>
      <c r="F116" s="8" t="n">
        <v>232</v>
      </c>
      <c r="G116" s="8" t="n">
        <v>134</v>
      </c>
      <c r="H116" s="8" t="n">
        <v>366</v>
      </c>
      <c r="I116" s="34" t="n">
        <f aca="false">ROUND(F116/H116*100,0)/100</f>
        <v>0.63</v>
      </c>
      <c r="J116" s="8" t="str">
        <f aca="false">IF(I116&gt;=Summary!$L$6,"Eligible","Shortage")</f>
        <v>Shortage</v>
      </c>
      <c r="K116" s="8" t="str">
        <f aca="false">IF(I116&lt;Summary!$L$8,"YES","No")</f>
        <v>No</v>
      </c>
      <c r="L116" s="8" t="str">
        <f aca="false">IF(I116&gt;=Summary!$L$7,"Counted","Not Counted")</f>
        <v>Counted</v>
      </c>
      <c r="M116" s="13" t="n">
        <f aca="false">IF(I116&gt;=Summary!$L$6,20,ROUND(I116/Summary!$L$6*10,1)*2)</f>
        <v>16.8</v>
      </c>
      <c r="N116" s="35" t="n">
        <f aca="false">20-M116</f>
        <v>3.2</v>
      </c>
      <c r="O116" s="8" t="str">
        <f aca="false">IF(I116&gt;=Summary!$L$6,"75%+ (all benefits)",IF(I116&gt;=Summary!$L$7,"55–74%",IF(I116&gt;=Summary!$L$8,"30–54%","Below 30%")))</f>
        <v>55–74%</v>
      </c>
    </row>
    <row r="117" customFormat="false" ht="15" hidden="false" customHeight="false" outlineLevel="0" collapsed="false">
      <c r="A117" s="36" t="n">
        <v>112</v>
      </c>
      <c r="B117" s="36" t="s">
        <v>21</v>
      </c>
      <c r="C117" s="36" t="s">
        <v>288</v>
      </c>
      <c r="D117" s="37" t="s">
        <v>289</v>
      </c>
      <c r="E117" s="38" t="n">
        <v>46300</v>
      </c>
      <c r="F117" s="36" t="n">
        <v>315</v>
      </c>
      <c r="G117" s="36" t="n">
        <v>51</v>
      </c>
      <c r="H117" s="36" t="n">
        <v>366</v>
      </c>
      <c r="I117" s="34" t="n">
        <f aca="false">ROUND(F117/H117*100,0)/100</f>
        <v>0.86</v>
      </c>
      <c r="J117" s="8" t="str">
        <f aca="false">IF(I117&gt;=Summary!$L$6,"Eligible","Shortage")</f>
        <v>Eligible</v>
      </c>
      <c r="K117" s="8" t="str">
        <f aca="false">IF(I117&lt;Summary!$L$8,"YES","No")</f>
        <v>No</v>
      </c>
      <c r="L117" s="8" t="str">
        <f aca="false">IF(I117&gt;=Summary!$L$7,"Counted","Not Counted")</f>
        <v>Counted</v>
      </c>
      <c r="M117" s="13" t="n">
        <f aca="false">IF(I117&gt;=Summary!$L$6,20,ROUND(I117/Summary!$L$6*10,1)*2)</f>
        <v>20</v>
      </c>
      <c r="N117" s="35" t="n">
        <f aca="false">20-M117</f>
        <v>0</v>
      </c>
      <c r="O117" s="8" t="str">
        <f aca="false">IF(I117&gt;=Summary!$L$6,"75%+ (all benefits)",IF(I117&gt;=Summary!$L$7,"55–74%",IF(I117&gt;=Summary!$L$8,"30–54%","Below 30%")))</f>
        <v>75%+ (all benefits)</v>
      </c>
    </row>
    <row r="118" customFormat="false" ht="15" hidden="false" customHeight="false" outlineLevel="0" collapsed="false">
      <c r="A118" s="8" t="n">
        <v>113</v>
      </c>
      <c r="B118" s="8" t="s">
        <v>21</v>
      </c>
      <c r="C118" s="8" t="s">
        <v>290</v>
      </c>
      <c r="D118" s="30" t="s">
        <v>291</v>
      </c>
      <c r="E118" s="9" t="n">
        <v>46300</v>
      </c>
      <c r="F118" s="8" t="n">
        <v>339</v>
      </c>
      <c r="G118" s="8" t="n">
        <v>36</v>
      </c>
      <c r="H118" s="8" t="n">
        <v>375</v>
      </c>
      <c r="I118" s="34" t="n">
        <f aca="false">ROUND(F118/H118*100,0)/100</f>
        <v>0.9</v>
      </c>
      <c r="J118" s="8" t="str">
        <f aca="false">IF(I118&gt;=Summary!$L$6,"Eligible","Shortage")</f>
        <v>Eligible</v>
      </c>
      <c r="K118" s="8" t="str">
        <f aca="false">IF(I118&lt;Summary!$L$8,"YES","No")</f>
        <v>No</v>
      </c>
      <c r="L118" s="8" t="str">
        <f aca="false">IF(I118&gt;=Summary!$L$7,"Counted","Not Counted")</f>
        <v>Counted</v>
      </c>
      <c r="M118" s="13" t="n">
        <f aca="false">IF(I118&gt;=Summary!$L$6,20,ROUND(I118/Summary!$L$6*10,1)*2)</f>
        <v>20</v>
      </c>
      <c r="N118" s="35" t="n">
        <f aca="false">20-M118</f>
        <v>0</v>
      </c>
      <c r="O118" s="8" t="str">
        <f aca="false">IF(I118&gt;=Summary!$L$6,"75%+ (all benefits)",IF(I118&gt;=Summary!$L$7,"55–74%",IF(I118&gt;=Summary!$L$8,"30–54%","Below 30%")))</f>
        <v>75%+ (all benefits)</v>
      </c>
    </row>
    <row r="119" customFormat="false" ht="15" hidden="false" customHeight="false" outlineLevel="0" collapsed="false">
      <c r="A119" s="36" t="n">
        <v>114</v>
      </c>
      <c r="B119" s="36" t="s">
        <v>21</v>
      </c>
      <c r="C119" s="36" t="s">
        <v>292</v>
      </c>
      <c r="D119" s="37" t="s">
        <v>293</v>
      </c>
      <c r="E119" s="38" t="n">
        <v>46300</v>
      </c>
      <c r="F119" s="36" t="n">
        <v>270</v>
      </c>
      <c r="G119" s="36" t="n">
        <v>96</v>
      </c>
      <c r="H119" s="36" t="n">
        <v>366</v>
      </c>
      <c r="I119" s="34" t="n">
        <f aca="false">ROUND(F119/H119*100,0)/100</f>
        <v>0.74</v>
      </c>
      <c r="J119" s="8" t="str">
        <f aca="false">IF(I119&gt;=Summary!$L$6,"Eligible","Shortage")</f>
        <v>Shortage</v>
      </c>
      <c r="K119" s="8" t="str">
        <f aca="false">IF(I119&lt;Summary!$L$8,"YES","No")</f>
        <v>No</v>
      </c>
      <c r="L119" s="8" t="str">
        <f aca="false">IF(I119&gt;=Summary!$L$7,"Counted","Not Counted")</f>
        <v>Counted</v>
      </c>
      <c r="M119" s="13" t="n">
        <f aca="false">IF(I119&gt;=Summary!$L$6,20,ROUND(I119/Summary!$L$6*10,1)*2)</f>
        <v>19.8</v>
      </c>
      <c r="N119" s="35" t="n">
        <f aca="false">20-M119</f>
        <v>0.199999999999999</v>
      </c>
      <c r="O119" s="8" t="str">
        <f aca="false">IF(I119&gt;=Summary!$L$6,"75%+ (all benefits)",IF(I119&gt;=Summary!$L$7,"55–74%",IF(I119&gt;=Summary!$L$8,"30–54%","Below 30%")))</f>
        <v>55–74%</v>
      </c>
    </row>
    <row r="120" customFormat="false" ht="15" hidden="false" customHeight="false" outlineLevel="0" collapsed="false">
      <c r="A120" s="8" t="n">
        <v>115</v>
      </c>
      <c r="B120" s="8" t="s">
        <v>21</v>
      </c>
      <c r="C120" s="8" t="s">
        <v>294</v>
      </c>
      <c r="D120" s="30" t="s">
        <v>295</v>
      </c>
      <c r="E120" s="9" t="n">
        <v>46300</v>
      </c>
      <c r="F120" s="8" t="n">
        <v>333</v>
      </c>
      <c r="G120" s="8" t="n">
        <v>33</v>
      </c>
      <c r="H120" s="8" t="n">
        <v>366</v>
      </c>
      <c r="I120" s="34" t="n">
        <f aca="false">ROUND(F120/H120*100,0)/100</f>
        <v>0.91</v>
      </c>
      <c r="J120" s="8" t="str">
        <f aca="false">IF(I120&gt;=Summary!$L$6,"Eligible","Shortage")</f>
        <v>Eligible</v>
      </c>
      <c r="K120" s="8" t="str">
        <f aca="false">IF(I120&lt;Summary!$L$8,"YES","No")</f>
        <v>No</v>
      </c>
      <c r="L120" s="8" t="str">
        <f aca="false">IF(I120&gt;=Summary!$L$7,"Counted","Not Counted")</f>
        <v>Counted</v>
      </c>
      <c r="M120" s="13" t="n">
        <f aca="false">IF(I120&gt;=Summary!$L$6,20,ROUND(I120/Summary!$L$6*10,1)*2)</f>
        <v>20</v>
      </c>
      <c r="N120" s="35" t="n">
        <f aca="false">20-M120</f>
        <v>0</v>
      </c>
      <c r="O120" s="8" t="str">
        <f aca="false">IF(I120&gt;=Summary!$L$6,"75%+ (all benefits)",IF(I120&gt;=Summary!$L$7,"55–74%",IF(I120&gt;=Summary!$L$8,"30–54%","Below 30%")))</f>
        <v>75%+ (all benefits)</v>
      </c>
    </row>
    <row r="121" customFormat="false" ht="15" hidden="false" customHeight="false" outlineLevel="0" collapsed="false">
      <c r="A121" s="36" t="n">
        <v>116</v>
      </c>
      <c r="B121" s="36" t="s">
        <v>21</v>
      </c>
      <c r="C121" s="36" t="s">
        <v>296</v>
      </c>
      <c r="D121" s="37" t="s">
        <v>297</v>
      </c>
      <c r="E121" s="38" t="n">
        <v>46300</v>
      </c>
      <c r="F121" s="36" t="n">
        <v>171</v>
      </c>
      <c r="G121" s="36" t="n">
        <v>195</v>
      </c>
      <c r="H121" s="36" t="n">
        <v>366</v>
      </c>
      <c r="I121" s="34" t="n">
        <f aca="false">ROUND(F121/H121*100,0)/100</f>
        <v>0.47</v>
      </c>
      <c r="J121" s="8" t="str">
        <f aca="false">IF(I121&gt;=Summary!$L$6,"Eligible","Shortage")</f>
        <v>Shortage</v>
      </c>
      <c r="K121" s="8" t="str">
        <f aca="false">IF(I121&lt;Summary!$L$8,"YES","No")</f>
        <v>No</v>
      </c>
      <c r="L121" s="8" t="str">
        <f aca="false">IF(I121&gt;=Summary!$L$7,"Counted","Not Counted")</f>
        <v>Not Counted</v>
      </c>
      <c r="M121" s="13" t="n">
        <f aca="false">IF(I121&gt;=Summary!$L$6,20,ROUND(I121/Summary!$L$6*10,1)*2)</f>
        <v>12.6</v>
      </c>
      <c r="N121" s="35" t="n">
        <f aca="false">20-M121</f>
        <v>7.4</v>
      </c>
      <c r="O121" s="8" t="str">
        <f aca="false">IF(I121&gt;=Summary!$L$6,"75%+ (all benefits)",IF(I121&gt;=Summary!$L$7,"55–74%",IF(I121&gt;=Summary!$L$8,"30–54%","Below 30%")))</f>
        <v>30–54%</v>
      </c>
    </row>
    <row r="122" customFormat="false" ht="15" hidden="false" customHeight="false" outlineLevel="0" collapsed="false">
      <c r="A122" s="8" t="n">
        <v>117</v>
      </c>
      <c r="B122" s="8" t="s">
        <v>21</v>
      </c>
      <c r="C122" s="8" t="s">
        <v>298</v>
      </c>
      <c r="D122" s="30" t="s">
        <v>299</v>
      </c>
      <c r="E122" s="9" t="n">
        <v>46300</v>
      </c>
      <c r="F122" s="8" t="n">
        <v>272</v>
      </c>
      <c r="G122" s="8" t="n">
        <v>94</v>
      </c>
      <c r="H122" s="8" t="n">
        <v>366</v>
      </c>
      <c r="I122" s="34" t="n">
        <f aca="false">ROUND(F122/H122*100,0)/100</f>
        <v>0.74</v>
      </c>
      <c r="J122" s="8" t="str">
        <f aca="false">IF(I122&gt;=Summary!$L$6,"Eligible","Shortage")</f>
        <v>Shortage</v>
      </c>
      <c r="K122" s="8" t="str">
        <f aca="false">IF(I122&lt;Summary!$L$8,"YES","No")</f>
        <v>No</v>
      </c>
      <c r="L122" s="8" t="str">
        <f aca="false">IF(I122&gt;=Summary!$L$7,"Counted","Not Counted")</f>
        <v>Counted</v>
      </c>
      <c r="M122" s="13" t="n">
        <f aca="false">IF(I122&gt;=Summary!$L$6,20,ROUND(I122/Summary!$L$6*10,1)*2)</f>
        <v>19.8</v>
      </c>
      <c r="N122" s="35" t="n">
        <f aca="false">20-M122</f>
        <v>0.199999999999999</v>
      </c>
      <c r="O122" s="8" t="str">
        <f aca="false">IF(I122&gt;=Summary!$L$6,"75%+ (all benefits)",IF(I122&gt;=Summary!$L$7,"55–74%",IF(I122&gt;=Summary!$L$8,"30–54%","Below 30%")))</f>
        <v>55–74%</v>
      </c>
    </row>
    <row r="123" customFormat="false" ht="15" hidden="false" customHeight="false" outlineLevel="0" collapsed="false">
      <c r="A123" s="36" t="n">
        <v>118</v>
      </c>
      <c r="B123" s="36" t="s">
        <v>21</v>
      </c>
      <c r="C123" s="36" t="s">
        <v>300</v>
      </c>
      <c r="D123" s="37" t="s">
        <v>301</v>
      </c>
      <c r="E123" s="38" t="n">
        <v>46300</v>
      </c>
      <c r="F123" s="36" t="n">
        <v>269</v>
      </c>
      <c r="G123" s="36" t="n">
        <v>97</v>
      </c>
      <c r="H123" s="36" t="n">
        <v>366</v>
      </c>
      <c r="I123" s="34" t="n">
        <f aca="false">ROUND(F123/H123*100,0)/100</f>
        <v>0.73</v>
      </c>
      <c r="J123" s="8" t="str">
        <f aca="false">IF(I123&gt;=Summary!$L$6,"Eligible","Shortage")</f>
        <v>Shortage</v>
      </c>
      <c r="K123" s="8" t="str">
        <f aca="false">IF(I123&lt;Summary!$L$8,"YES","No")</f>
        <v>No</v>
      </c>
      <c r="L123" s="8" t="str">
        <f aca="false">IF(I123&gt;=Summary!$L$7,"Counted","Not Counted")</f>
        <v>Counted</v>
      </c>
      <c r="M123" s="13" t="n">
        <f aca="false">IF(I123&gt;=Summary!$L$6,20,ROUND(I123/Summary!$L$6*10,1)*2)</f>
        <v>19.4</v>
      </c>
      <c r="N123" s="35" t="n">
        <f aca="false">20-M123</f>
        <v>0.600000000000001</v>
      </c>
      <c r="O123" s="8" t="str">
        <f aca="false">IF(I123&gt;=Summary!$L$6,"75%+ (all benefits)",IF(I123&gt;=Summary!$L$7,"55–74%",IF(I123&gt;=Summary!$L$8,"30–54%","Below 30%")))</f>
        <v>55–74%</v>
      </c>
    </row>
    <row r="124" customFormat="false" ht="15" hidden="false" customHeight="false" outlineLevel="0" collapsed="false">
      <c r="A124" s="8" t="n">
        <v>119</v>
      </c>
      <c r="B124" s="8" t="s">
        <v>21</v>
      </c>
      <c r="C124" s="8" t="s">
        <v>302</v>
      </c>
      <c r="D124" s="30" t="s">
        <v>303</v>
      </c>
      <c r="E124" s="9" t="n">
        <v>46300</v>
      </c>
      <c r="F124" s="8" t="n">
        <v>208</v>
      </c>
      <c r="G124" s="8" t="n">
        <v>158</v>
      </c>
      <c r="H124" s="8" t="n">
        <v>366</v>
      </c>
      <c r="I124" s="34" t="n">
        <f aca="false">ROUND(F124/H124*100,0)/100</f>
        <v>0.57</v>
      </c>
      <c r="J124" s="8" t="str">
        <f aca="false">IF(I124&gt;=Summary!$L$6,"Eligible","Shortage")</f>
        <v>Shortage</v>
      </c>
      <c r="K124" s="8" t="str">
        <f aca="false">IF(I124&lt;Summary!$L$8,"YES","No")</f>
        <v>No</v>
      </c>
      <c r="L124" s="8" t="str">
        <f aca="false">IF(I124&gt;=Summary!$L$7,"Counted","Not Counted")</f>
        <v>Counted</v>
      </c>
      <c r="M124" s="13" t="n">
        <f aca="false">IF(I124&gt;=Summary!$L$6,20,ROUND(I124/Summary!$L$6*10,1)*2)</f>
        <v>15.2</v>
      </c>
      <c r="N124" s="35" t="n">
        <f aca="false">20-M124</f>
        <v>4.8</v>
      </c>
      <c r="O124" s="8" t="str">
        <f aca="false">IF(I124&gt;=Summary!$L$6,"75%+ (all benefits)",IF(I124&gt;=Summary!$L$7,"55–74%",IF(I124&gt;=Summary!$L$8,"30–54%","Below 30%")))</f>
        <v>55–74%</v>
      </c>
    </row>
    <row r="125" customFormat="false" ht="15" hidden="false" customHeight="false" outlineLevel="0" collapsed="false">
      <c r="A125" s="36" t="n">
        <v>120</v>
      </c>
      <c r="B125" s="36" t="s">
        <v>21</v>
      </c>
      <c r="C125" s="36" t="s">
        <v>304</v>
      </c>
      <c r="D125" s="37" t="s">
        <v>305</v>
      </c>
      <c r="E125" s="38" t="n">
        <v>46300</v>
      </c>
      <c r="F125" s="36" t="n">
        <v>255</v>
      </c>
      <c r="G125" s="36" t="n">
        <v>111</v>
      </c>
      <c r="H125" s="36" t="n">
        <v>366</v>
      </c>
      <c r="I125" s="34" t="n">
        <f aca="false">ROUND(F125/H125*100,0)/100</f>
        <v>0.7</v>
      </c>
      <c r="J125" s="8" t="str">
        <f aca="false">IF(I125&gt;=Summary!$L$6,"Eligible","Shortage")</f>
        <v>Shortage</v>
      </c>
      <c r="K125" s="8" t="str">
        <f aca="false">IF(I125&lt;Summary!$L$8,"YES","No")</f>
        <v>No</v>
      </c>
      <c r="L125" s="8" t="str">
        <f aca="false">IF(I125&gt;=Summary!$L$7,"Counted","Not Counted")</f>
        <v>Counted</v>
      </c>
      <c r="M125" s="13" t="n">
        <f aca="false">IF(I125&gt;=Summary!$L$6,20,ROUND(I125/Summary!$L$6*10,1)*2)</f>
        <v>18.6</v>
      </c>
      <c r="N125" s="35" t="n">
        <f aca="false">20-M125</f>
        <v>1.4</v>
      </c>
      <c r="O125" s="8" t="str">
        <f aca="false">IF(I125&gt;=Summary!$L$6,"75%+ (all benefits)",IF(I125&gt;=Summary!$L$7,"55–74%",IF(I125&gt;=Summary!$L$8,"30–54%","Below 30%")))</f>
        <v>55–74%</v>
      </c>
    </row>
    <row r="126" customFormat="false" ht="15" hidden="false" customHeight="false" outlineLevel="0" collapsed="false">
      <c r="A126" s="8" t="n">
        <v>121</v>
      </c>
      <c r="B126" s="8" t="s">
        <v>21</v>
      </c>
      <c r="C126" s="8" t="s">
        <v>306</v>
      </c>
      <c r="D126" s="30" t="s">
        <v>307</v>
      </c>
      <c r="E126" s="9" t="n">
        <v>46300</v>
      </c>
      <c r="F126" s="8" t="n">
        <v>264</v>
      </c>
      <c r="G126" s="8" t="n">
        <v>102</v>
      </c>
      <c r="H126" s="8" t="n">
        <v>366</v>
      </c>
      <c r="I126" s="34" t="n">
        <f aca="false">ROUND(F126/H126*100,0)/100</f>
        <v>0.72</v>
      </c>
      <c r="J126" s="8" t="str">
        <f aca="false">IF(I126&gt;=Summary!$L$6,"Eligible","Shortage")</f>
        <v>Shortage</v>
      </c>
      <c r="K126" s="8" t="str">
        <f aca="false">IF(I126&lt;Summary!$L$8,"YES","No")</f>
        <v>No</v>
      </c>
      <c r="L126" s="8" t="str">
        <f aca="false">IF(I126&gt;=Summary!$L$7,"Counted","Not Counted")</f>
        <v>Counted</v>
      </c>
      <c r="M126" s="13" t="n">
        <f aca="false">IF(I126&gt;=Summary!$L$6,20,ROUND(I126/Summary!$L$6*10,1)*2)</f>
        <v>19.2</v>
      </c>
      <c r="N126" s="35" t="n">
        <f aca="false">20-M126</f>
        <v>0.800000000000001</v>
      </c>
      <c r="O126" s="8" t="str">
        <f aca="false">IF(I126&gt;=Summary!$L$6,"75%+ (all benefits)",IF(I126&gt;=Summary!$L$7,"55–74%",IF(I126&gt;=Summary!$L$8,"30–54%","Below 30%")))</f>
        <v>55–74%</v>
      </c>
    </row>
    <row r="127" customFormat="false" ht="15" hidden="false" customHeight="false" outlineLevel="0" collapsed="false">
      <c r="A127" s="36" t="n">
        <v>122</v>
      </c>
      <c r="B127" s="36" t="s">
        <v>21</v>
      </c>
      <c r="C127" s="36" t="s">
        <v>308</v>
      </c>
      <c r="D127" s="37" t="s">
        <v>309</v>
      </c>
      <c r="E127" s="38" t="n">
        <v>46300</v>
      </c>
      <c r="F127" s="36" t="n">
        <v>290</v>
      </c>
      <c r="G127" s="36" t="n">
        <v>76</v>
      </c>
      <c r="H127" s="36" t="n">
        <v>366</v>
      </c>
      <c r="I127" s="34" t="n">
        <f aca="false">ROUND(F127/H127*100,0)/100</f>
        <v>0.79</v>
      </c>
      <c r="J127" s="8" t="str">
        <f aca="false">IF(I127&gt;=Summary!$L$6,"Eligible","Shortage")</f>
        <v>Eligible</v>
      </c>
      <c r="K127" s="8" t="str">
        <f aca="false">IF(I127&lt;Summary!$L$8,"YES","No")</f>
        <v>No</v>
      </c>
      <c r="L127" s="8" t="str">
        <f aca="false">IF(I127&gt;=Summary!$L$7,"Counted","Not Counted")</f>
        <v>Counted</v>
      </c>
      <c r="M127" s="13" t="n">
        <f aca="false">IF(I127&gt;=Summary!$L$6,20,ROUND(I127/Summary!$L$6*10,1)*2)</f>
        <v>20</v>
      </c>
      <c r="N127" s="35" t="n">
        <f aca="false">20-M127</f>
        <v>0</v>
      </c>
      <c r="O127" s="8" t="str">
        <f aca="false">IF(I127&gt;=Summary!$L$6,"75%+ (all benefits)",IF(I127&gt;=Summary!$L$7,"55–74%",IF(I127&gt;=Summary!$L$8,"30–54%","Below 30%")))</f>
        <v>75%+ (all benefits)</v>
      </c>
    </row>
    <row r="128" customFormat="false" ht="15" hidden="false" customHeight="false" outlineLevel="0" collapsed="false">
      <c r="A128" s="8" t="n">
        <v>123</v>
      </c>
      <c r="B128" s="8" t="s">
        <v>21</v>
      </c>
      <c r="C128" s="8" t="s">
        <v>310</v>
      </c>
      <c r="D128" s="30" t="s">
        <v>311</v>
      </c>
      <c r="E128" s="9" t="n">
        <v>46300</v>
      </c>
      <c r="F128" s="8" t="n">
        <v>278</v>
      </c>
      <c r="G128" s="8" t="n">
        <v>88</v>
      </c>
      <c r="H128" s="8" t="n">
        <v>366</v>
      </c>
      <c r="I128" s="34" t="n">
        <f aca="false">ROUND(F128/H128*100,0)/100</f>
        <v>0.76</v>
      </c>
      <c r="J128" s="8" t="str">
        <f aca="false">IF(I128&gt;=Summary!$L$6,"Eligible","Shortage")</f>
        <v>Eligible</v>
      </c>
      <c r="K128" s="8" t="str">
        <f aca="false">IF(I128&lt;Summary!$L$8,"YES","No")</f>
        <v>No</v>
      </c>
      <c r="L128" s="8" t="str">
        <f aca="false">IF(I128&gt;=Summary!$L$7,"Counted","Not Counted")</f>
        <v>Counted</v>
      </c>
      <c r="M128" s="13" t="n">
        <f aca="false">IF(I128&gt;=Summary!$L$6,20,ROUND(I128/Summary!$L$6*10,1)*2)</f>
        <v>20</v>
      </c>
      <c r="N128" s="35" t="n">
        <f aca="false">20-M128</f>
        <v>0</v>
      </c>
      <c r="O128" s="8" t="str">
        <f aca="false">IF(I128&gt;=Summary!$L$6,"75%+ (all benefits)",IF(I128&gt;=Summary!$L$7,"55–74%",IF(I128&gt;=Summary!$L$8,"30–54%","Below 30%")))</f>
        <v>75%+ (all benefits)</v>
      </c>
    </row>
    <row r="129" customFormat="false" ht="15" hidden="false" customHeight="false" outlineLevel="0" collapsed="false">
      <c r="A129" s="36" t="n">
        <v>124</v>
      </c>
      <c r="B129" s="36" t="s">
        <v>21</v>
      </c>
      <c r="C129" s="36" t="s">
        <v>312</v>
      </c>
      <c r="D129" s="37" t="s">
        <v>313</v>
      </c>
      <c r="E129" s="38" t="n">
        <v>46300</v>
      </c>
      <c r="F129" s="36" t="n">
        <v>302</v>
      </c>
      <c r="G129" s="36" t="n">
        <v>64</v>
      </c>
      <c r="H129" s="36" t="n">
        <v>366</v>
      </c>
      <c r="I129" s="34" t="n">
        <f aca="false">ROUND(F129/H129*100,0)/100</f>
        <v>0.83</v>
      </c>
      <c r="J129" s="8" t="str">
        <f aca="false">IF(I129&gt;=Summary!$L$6,"Eligible","Shortage")</f>
        <v>Eligible</v>
      </c>
      <c r="K129" s="8" t="str">
        <f aca="false">IF(I129&lt;Summary!$L$8,"YES","No")</f>
        <v>No</v>
      </c>
      <c r="L129" s="8" t="str">
        <f aca="false">IF(I129&gt;=Summary!$L$7,"Counted","Not Counted")</f>
        <v>Counted</v>
      </c>
      <c r="M129" s="13" t="n">
        <f aca="false">IF(I129&gt;=Summary!$L$6,20,ROUND(I129/Summary!$L$6*10,1)*2)</f>
        <v>20</v>
      </c>
      <c r="N129" s="35" t="n">
        <f aca="false">20-M129</f>
        <v>0</v>
      </c>
      <c r="O129" s="8" t="str">
        <f aca="false">IF(I129&gt;=Summary!$L$6,"75%+ (all benefits)",IF(I129&gt;=Summary!$L$7,"55–74%",IF(I129&gt;=Summary!$L$8,"30–54%","Below 30%")))</f>
        <v>75%+ (all benefits)</v>
      </c>
    </row>
    <row r="130" customFormat="false" ht="15" hidden="false" customHeight="false" outlineLevel="0" collapsed="false">
      <c r="A130" s="8" t="n">
        <v>125</v>
      </c>
      <c r="B130" s="8" t="s">
        <v>21</v>
      </c>
      <c r="C130" s="8" t="s">
        <v>314</v>
      </c>
      <c r="D130" s="30"/>
      <c r="E130" s="9" t="n">
        <v>46300</v>
      </c>
      <c r="F130" s="8" t="n">
        <v>327</v>
      </c>
      <c r="G130" s="8" t="n">
        <v>39</v>
      </c>
      <c r="H130" s="8" t="n">
        <v>366</v>
      </c>
      <c r="I130" s="34" t="n">
        <f aca="false">ROUND(F130/H130*100,0)/100</f>
        <v>0.89</v>
      </c>
      <c r="J130" s="8" t="str">
        <f aca="false">IF(I130&gt;=Summary!$L$6,"Eligible","Shortage")</f>
        <v>Eligible</v>
      </c>
      <c r="K130" s="8" t="str">
        <f aca="false">IF(I130&lt;Summary!$L$8,"YES","No")</f>
        <v>No</v>
      </c>
      <c r="L130" s="8" t="str">
        <f aca="false">IF(I130&gt;=Summary!$L$7,"Counted","Not Counted")</f>
        <v>Counted</v>
      </c>
      <c r="M130" s="13" t="n">
        <f aca="false">IF(I130&gt;=Summary!$L$6,20,ROUND(I130/Summary!$L$6*10,1)*2)</f>
        <v>20</v>
      </c>
      <c r="N130" s="35" t="n">
        <f aca="false">20-M130</f>
        <v>0</v>
      </c>
      <c r="O130" s="8" t="str">
        <f aca="false">IF(I130&gt;=Summary!$L$6,"75%+ (all benefits)",IF(I130&gt;=Summary!$L$7,"55–74%",IF(I130&gt;=Summary!$L$8,"30–54%","Below 30%")))</f>
        <v>75%+ (all benefits)</v>
      </c>
    </row>
    <row r="131" customFormat="false" ht="15" hidden="false" customHeight="false" outlineLevel="0" collapsed="false">
      <c r="A131" s="36" t="n">
        <v>126</v>
      </c>
      <c r="B131" s="36" t="s">
        <v>22</v>
      </c>
      <c r="C131" s="36" t="s">
        <v>315</v>
      </c>
      <c r="D131" s="37" t="s">
        <v>316</v>
      </c>
      <c r="E131" s="38" t="n">
        <v>46300</v>
      </c>
      <c r="F131" s="36" t="n">
        <v>275</v>
      </c>
      <c r="G131" s="36" t="n">
        <v>91</v>
      </c>
      <c r="H131" s="36" t="n">
        <v>366</v>
      </c>
      <c r="I131" s="34" t="n">
        <f aca="false">ROUND(F131/H131*100,0)/100</f>
        <v>0.75</v>
      </c>
      <c r="J131" s="8" t="str">
        <f aca="false">IF(I131&gt;=Summary!$L$6,"Eligible","Shortage")</f>
        <v>Eligible</v>
      </c>
      <c r="K131" s="8" t="str">
        <f aca="false">IF(I131&lt;Summary!$L$8,"YES","No")</f>
        <v>No</v>
      </c>
      <c r="L131" s="8" t="str">
        <f aca="false">IF(I131&gt;=Summary!$L$7,"Counted","Not Counted")</f>
        <v>Counted</v>
      </c>
      <c r="M131" s="13" t="n">
        <f aca="false">IF(I131&gt;=Summary!$L$6,20,ROUND(I131/Summary!$L$6*10,1)*2)</f>
        <v>20</v>
      </c>
      <c r="N131" s="35" t="n">
        <f aca="false">20-M131</f>
        <v>0</v>
      </c>
      <c r="O131" s="8" t="str">
        <f aca="false">IF(I131&gt;=Summary!$L$6,"75%+ (all benefits)",IF(I131&gt;=Summary!$L$7,"55–74%",IF(I131&gt;=Summary!$L$8,"30–54%","Below 30%")))</f>
        <v>75%+ (all benefits)</v>
      </c>
    </row>
    <row r="132" customFormat="false" ht="15" hidden="false" customHeight="false" outlineLevel="0" collapsed="false">
      <c r="A132" s="8" t="n">
        <v>127</v>
      </c>
      <c r="B132" s="8" t="s">
        <v>22</v>
      </c>
      <c r="C132" s="8" t="s">
        <v>317</v>
      </c>
      <c r="D132" s="30" t="s">
        <v>318</v>
      </c>
      <c r="E132" s="9" t="n">
        <v>46300</v>
      </c>
      <c r="F132" s="8" t="n">
        <v>286</v>
      </c>
      <c r="G132" s="8" t="n">
        <v>80</v>
      </c>
      <c r="H132" s="8" t="n">
        <v>366</v>
      </c>
      <c r="I132" s="34" t="n">
        <f aca="false">ROUND(F132/H132*100,0)/100</f>
        <v>0.78</v>
      </c>
      <c r="J132" s="8" t="str">
        <f aca="false">IF(I132&gt;=Summary!$L$6,"Eligible","Shortage")</f>
        <v>Eligible</v>
      </c>
      <c r="K132" s="8" t="str">
        <f aca="false">IF(I132&lt;Summary!$L$8,"YES","No")</f>
        <v>No</v>
      </c>
      <c r="L132" s="8" t="str">
        <f aca="false">IF(I132&gt;=Summary!$L$7,"Counted","Not Counted")</f>
        <v>Counted</v>
      </c>
      <c r="M132" s="13" t="n">
        <f aca="false">IF(I132&gt;=Summary!$L$6,20,ROUND(I132/Summary!$L$6*10,1)*2)</f>
        <v>20</v>
      </c>
      <c r="N132" s="35" t="n">
        <f aca="false">20-M132</f>
        <v>0</v>
      </c>
      <c r="O132" s="8" t="str">
        <f aca="false">IF(I132&gt;=Summary!$L$6,"75%+ (all benefits)",IF(I132&gt;=Summary!$L$7,"55–74%",IF(I132&gt;=Summary!$L$8,"30–54%","Below 30%")))</f>
        <v>75%+ (all benefits)</v>
      </c>
    </row>
    <row r="133" customFormat="false" ht="15" hidden="false" customHeight="false" outlineLevel="0" collapsed="false">
      <c r="A133" s="36" t="n">
        <v>128</v>
      </c>
      <c r="B133" s="36" t="s">
        <v>22</v>
      </c>
      <c r="C133" s="36" t="s">
        <v>319</v>
      </c>
      <c r="D133" s="37" t="s">
        <v>320</v>
      </c>
      <c r="E133" s="38" t="n">
        <v>46300</v>
      </c>
      <c r="F133" s="36" t="n">
        <v>301</v>
      </c>
      <c r="G133" s="36" t="n">
        <v>65</v>
      </c>
      <c r="H133" s="36" t="n">
        <v>366</v>
      </c>
      <c r="I133" s="34" t="n">
        <f aca="false">ROUND(F133/H133*100,0)/100</f>
        <v>0.82</v>
      </c>
      <c r="J133" s="8" t="str">
        <f aca="false">IF(I133&gt;=Summary!$L$6,"Eligible","Shortage")</f>
        <v>Eligible</v>
      </c>
      <c r="K133" s="8" t="str">
        <f aca="false">IF(I133&lt;Summary!$L$8,"YES","No")</f>
        <v>No</v>
      </c>
      <c r="L133" s="8" t="str">
        <f aca="false">IF(I133&gt;=Summary!$L$7,"Counted","Not Counted")</f>
        <v>Counted</v>
      </c>
      <c r="M133" s="13" t="n">
        <f aca="false">IF(I133&gt;=Summary!$L$6,20,ROUND(I133/Summary!$L$6*10,1)*2)</f>
        <v>20</v>
      </c>
      <c r="N133" s="35" t="n">
        <f aca="false">20-M133</f>
        <v>0</v>
      </c>
      <c r="O133" s="8" t="str">
        <f aca="false">IF(I133&gt;=Summary!$L$6,"75%+ (all benefits)",IF(I133&gt;=Summary!$L$7,"55–74%",IF(I133&gt;=Summary!$L$8,"30–54%","Below 30%")))</f>
        <v>75%+ (all benefits)</v>
      </c>
    </row>
    <row r="134" customFormat="false" ht="15" hidden="false" customHeight="false" outlineLevel="0" collapsed="false">
      <c r="A134" s="8" t="n">
        <v>129</v>
      </c>
      <c r="B134" s="8" t="s">
        <v>22</v>
      </c>
      <c r="C134" s="8" t="s">
        <v>321</v>
      </c>
      <c r="D134" s="30" t="s">
        <v>322</v>
      </c>
      <c r="E134" s="9" t="n">
        <v>46300</v>
      </c>
      <c r="F134" s="8" t="n">
        <v>250</v>
      </c>
      <c r="G134" s="8" t="n">
        <v>116</v>
      </c>
      <c r="H134" s="8" t="n">
        <v>366</v>
      </c>
      <c r="I134" s="34" t="n">
        <f aca="false">ROUND(F134/H134*100,0)/100</f>
        <v>0.68</v>
      </c>
      <c r="J134" s="8" t="str">
        <f aca="false">IF(I134&gt;=Summary!$L$6,"Eligible","Shortage")</f>
        <v>Shortage</v>
      </c>
      <c r="K134" s="8" t="str">
        <f aca="false">IF(I134&lt;Summary!$L$8,"YES","No")</f>
        <v>No</v>
      </c>
      <c r="L134" s="8" t="str">
        <f aca="false">IF(I134&gt;=Summary!$L$7,"Counted","Not Counted")</f>
        <v>Counted</v>
      </c>
      <c r="M134" s="13" t="n">
        <f aca="false">IF(I134&gt;=Summary!$L$6,20,ROUND(I134/Summary!$L$6*10,1)*2)</f>
        <v>18.2</v>
      </c>
      <c r="N134" s="35" t="n">
        <f aca="false">20-M134</f>
        <v>1.8</v>
      </c>
      <c r="O134" s="8" t="str">
        <f aca="false">IF(I134&gt;=Summary!$L$6,"75%+ (all benefits)",IF(I134&gt;=Summary!$L$7,"55–74%",IF(I134&gt;=Summary!$L$8,"30–54%","Below 30%")))</f>
        <v>55–74%</v>
      </c>
    </row>
    <row r="135" customFormat="false" ht="15" hidden="false" customHeight="false" outlineLevel="0" collapsed="false">
      <c r="A135" s="36" t="n">
        <v>130</v>
      </c>
      <c r="B135" s="36" t="s">
        <v>22</v>
      </c>
      <c r="C135" s="36" t="s">
        <v>323</v>
      </c>
      <c r="D135" s="37" t="s">
        <v>324</v>
      </c>
      <c r="E135" s="38" t="n">
        <v>46300</v>
      </c>
      <c r="F135" s="36" t="n">
        <v>282</v>
      </c>
      <c r="G135" s="36" t="n">
        <v>84</v>
      </c>
      <c r="H135" s="36" t="n">
        <v>366</v>
      </c>
      <c r="I135" s="34" t="n">
        <f aca="false">ROUND(F135/H135*100,0)/100</f>
        <v>0.77</v>
      </c>
      <c r="J135" s="8" t="str">
        <f aca="false">IF(I135&gt;=Summary!$L$6,"Eligible","Shortage")</f>
        <v>Eligible</v>
      </c>
      <c r="K135" s="8" t="str">
        <f aca="false">IF(I135&lt;Summary!$L$8,"YES","No")</f>
        <v>No</v>
      </c>
      <c r="L135" s="8" t="str">
        <f aca="false">IF(I135&gt;=Summary!$L$7,"Counted","Not Counted")</f>
        <v>Counted</v>
      </c>
      <c r="M135" s="13" t="n">
        <f aca="false">IF(I135&gt;=Summary!$L$6,20,ROUND(I135/Summary!$L$6*10,1)*2)</f>
        <v>20</v>
      </c>
      <c r="N135" s="35" t="n">
        <f aca="false">20-M135</f>
        <v>0</v>
      </c>
      <c r="O135" s="8" t="str">
        <f aca="false">IF(I135&gt;=Summary!$L$6,"75%+ (all benefits)",IF(I135&gt;=Summary!$L$7,"55–74%",IF(I135&gt;=Summary!$L$8,"30–54%","Below 30%")))</f>
        <v>75%+ (all benefits)</v>
      </c>
    </row>
    <row r="136" customFormat="false" ht="15" hidden="false" customHeight="false" outlineLevel="0" collapsed="false">
      <c r="A136" s="8" t="n">
        <v>131</v>
      </c>
      <c r="B136" s="8" t="s">
        <v>22</v>
      </c>
      <c r="C136" s="8" t="s">
        <v>325</v>
      </c>
      <c r="D136" s="30" t="s">
        <v>326</v>
      </c>
      <c r="E136" s="9" t="n">
        <v>46300</v>
      </c>
      <c r="F136" s="8" t="n">
        <v>308</v>
      </c>
      <c r="G136" s="8" t="n">
        <v>58</v>
      </c>
      <c r="H136" s="8" t="n">
        <v>366</v>
      </c>
      <c r="I136" s="34" t="n">
        <f aca="false">ROUND(F136/H136*100,0)/100</f>
        <v>0.84</v>
      </c>
      <c r="J136" s="8" t="str">
        <f aca="false">IF(I136&gt;=Summary!$L$6,"Eligible","Shortage")</f>
        <v>Eligible</v>
      </c>
      <c r="K136" s="8" t="str">
        <f aca="false">IF(I136&lt;Summary!$L$8,"YES","No")</f>
        <v>No</v>
      </c>
      <c r="L136" s="8" t="str">
        <f aca="false">IF(I136&gt;=Summary!$L$7,"Counted","Not Counted")</f>
        <v>Counted</v>
      </c>
      <c r="M136" s="13" t="n">
        <f aca="false">IF(I136&gt;=Summary!$L$6,20,ROUND(I136/Summary!$L$6*10,1)*2)</f>
        <v>20</v>
      </c>
      <c r="N136" s="35" t="n">
        <f aca="false">20-M136</f>
        <v>0</v>
      </c>
      <c r="O136" s="8" t="str">
        <f aca="false">IF(I136&gt;=Summary!$L$6,"75%+ (all benefits)",IF(I136&gt;=Summary!$L$7,"55–74%",IF(I136&gt;=Summary!$L$8,"30–54%","Below 30%")))</f>
        <v>75%+ (all benefits)</v>
      </c>
    </row>
    <row r="137" customFormat="false" ht="15" hidden="false" customHeight="false" outlineLevel="0" collapsed="false">
      <c r="A137" s="36" t="n">
        <v>132</v>
      </c>
      <c r="B137" s="36" t="s">
        <v>22</v>
      </c>
      <c r="C137" s="36" t="s">
        <v>327</v>
      </c>
      <c r="D137" s="37" t="s">
        <v>328</v>
      </c>
      <c r="E137" s="38" t="n">
        <v>46300</v>
      </c>
      <c r="F137" s="36" t="n">
        <v>196</v>
      </c>
      <c r="G137" s="36" t="n">
        <v>170</v>
      </c>
      <c r="H137" s="36" t="n">
        <v>366</v>
      </c>
      <c r="I137" s="34" t="n">
        <f aca="false">ROUND(F137/H137*100,0)/100</f>
        <v>0.54</v>
      </c>
      <c r="J137" s="8" t="str">
        <f aca="false">IF(I137&gt;=Summary!$L$6,"Eligible","Shortage")</f>
        <v>Shortage</v>
      </c>
      <c r="K137" s="8" t="str">
        <f aca="false">IF(I137&lt;Summary!$L$8,"YES","No")</f>
        <v>No</v>
      </c>
      <c r="L137" s="8" t="str">
        <f aca="false">IF(I137&gt;=Summary!$L$7,"Counted","Not Counted")</f>
        <v>Not Counted</v>
      </c>
      <c r="M137" s="13" t="n">
        <f aca="false">IF(I137&gt;=Summary!$L$6,20,ROUND(I137/Summary!$L$6*10,1)*2)</f>
        <v>14.4</v>
      </c>
      <c r="N137" s="35" t="n">
        <f aca="false">20-M137</f>
        <v>5.6</v>
      </c>
      <c r="O137" s="8" t="str">
        <f aca="false">IF(I137&gt;=Summary!$L$6,"75%+ (all benefits)",IF(I137&gt;=Summary!$L$7,"55–74%",IF(I137&gt;=Summary!$L$8,"30–54%","Below 30%")))</f>
        <v>30–54%</v>
      </c>
    </row>
    <row r="138" customFormat="false" ht="15" hidden="false" customHeight="false" outlineLevel="0" collapsed="false">
      <c r="A138" s="8" t="n">
        <v>133</v>
      </c>
      <c r="B138" s="8" t="s">
        <v>22</v>
      </c>
      <c r="C138" s="8" t="s">
        <v>329</v>
      </c>
      <c r="D138" s="30" t="s">
        <v>330</v>
      </c>
      <c r="E138" s="9" t="n">
        <v>46300</v>
      </c>
      <c r="F138" s="8" t="n">
        <v>272</v>
      </c>
      <c r="G138" s="8" t="n">
        <v>94</v>
      </c>
      <c r="H138" s="8" t="n">
        <v>366</v>
      </c>
      <c r="I138" s="34" t="n">
        <f aca="false">ROUND(F138/H138*100,0)/100</f>
        <v>0.74</v>
      </c>
      <c r="J138" s="8" t="str">
        <f aca="false">IF(I138&gt;=Summary!$L$6,"Eligible","Shortage")</f>
        <v>Shortage</v>
      </c>
      <c r="K138" s="8" t="str">
        <f aca="false">IF(I138&lt;Summary!$L$8,"YES","No")</f>
        <v>No</v>
      </c>
      <c r="L138" s="8" t="str">
        <f aca="false">IF(I138&gt;=Summary!$L$7,"Counted","Not Counted")</f>
        <v>Counted</v>
      </c>
      <c r="M138" s="13" t="n">
        <f aca="false">IF(I138&gt;=Summary!$L$6,20,ROUND(I138/Summary!$L$6*10,1)*2)</f>
        <v>19.8</v>
      </c>
      <c r="N138" s="35" t="n">
        <f aca="false">20-M138</f>
        <v>0.199999999999999</v>
      </c>
      <c r="O138" s="8" t="str">
        <f aca="false">IF(I138&gt;=Summary!$L$6,"75%+ (all benefits)",IF(I138&gt;=Summary!$L$7,"55–74%",IF(I138&gt;=Summary!$L$8,"30–54%","Below 30%")))</f>
        <v>55–74%</v>
      </c>
    </row>
    <row r="139" customFormat="false" ht="15" hidden="false" customHeight="false" outlineLevel="0" collapsed="false">
      <c r="A139" s="36" t="n">
        <v>134</v>
      </c>
      <c r="B139" s="36" t="s">
        <v>22</v>
      </c>
      <c r="C139" s="36" t="s">
        <v>331</v>
      </c>
      <c r="D139" s="37" t="s">
        <v>332</v>
      </c>
      <c r="E139" s="38" t="n">
        <v>46300</v>
      </c>
      <c r="F139" s="36" t="n">
        <v>293</v>
      </c>
      <c r="G139" s="36" t="n">
        <v>73</v>
      </c>
      <c r="H139" s="36" t="n">
        <v>366</v>
      </c>
      <c r="I139" s="34" t="n">
        <f aca="false">ROUND(F139/H139*100,0)/100</f>
        <v>0.8</v>
      </c>
      <c r="J139" s="8" t="str">
        <f aca="false">IF(I139&gt;=Summary!$L$6,"Eligible","Shortage")</f>
        <v>Eligible</v>
      </c>
      <c r="K139" s="8" t="str">
        <f aca="false">IF(I139&lt;Summary!$L$8,"YES","No")</f>
        <v>No</v>
      </c>
      <c r="L139" s="8" t="str">
        <f aca="false">IF(I139&gt;=Summary!$L$7,"Counted","Not Counted")</f>
        <v>Counted</v>
      </c>
      <c r="M139" s="13" t="n">
        <f aca="false">IF(I139&gt;=Summary!$L$6,20,ROUND(I139/Summary!$L$6*10,1)*2)</f>
        <v>20</v>
      </c>
      <c r="N139" s="35" t="n">
        <f aca="false">20-M139</f>
        <v>0</v>
      </c>
      <c r="O139" s="8" t="str">
        <f aca="false">IF(I139&gt;=Summary!$L$6,"75%+ (all benefits)",IF(I139&gt;=Summary!$L$7,"55–74%",IF(I139&gt;=Summary!$L$8,"30–54%","Below 30%")))</f>
        <v>75%+ (all benefits)</v>
      </c>
    </row>
    <row r="140" customFormat="false" ht="15" hidden="false" customHeight="false" outlineLevel="0" collapsed="false">
      <c r="A140" s="8" t="n">
        <v>135</v>
      </c>
      <c r="B140" s="8" t="s">
        <v>22</v>
      </c>
      <c r="C140" s="8" t="s">
        <v>333</v>
      </c>
      <c r="D140" s="30" t="s">
        <v>334</v>
      </c>
      <c r="E140" s="9" t="n">
        <v>46300</v>
      </c>
      <c r="F140" s="8" t="n">
        <v>315</v>
      </c>
      <c r="G140" s="8" t="n">
        <v>51</v>
      </c>
      <c r="H140" s="8" t="n">
        <v>366</v>
      </c>
      <c r="I140" s="34" t="n">
        <f aca="false">ROUND(F140/H140*100,0)/100</f>
        <v>0.86</v>
      </c>
      <c r="J140" s="8" t="str">
        <f aca="false">IF(I140&gt;=Summary!$L$6,"Eligible","Shortage")</f>
        <v>Eligible</v>
      </c>
      <c r="K140" s="8" t="str">
        <f aca="false">IF(I140&lt;Summary!$L$8,"YES","No")</f>
        <v>No</v>
      </c>
      <c r="L140" s="8" t="str">
        <f aca="false">IF(I140&gt;=Summary!$L$7,"Counted","Not Counted")</f>
        <v>Counted</v>
      </c>
      <c r="M140" s="13" t="n">
        <f aca="false">IF(I140&gt;=Summary!$L$6,20,ROUND(I140/Summary!$L$6*10,1)*2)</f>
        <v>20</v>
      </c>
      <c r="N140" s="35" t="n">
        <f aca="false">20-M140</f>
        <v>0</v>
      </c>
      <c r="O140" s="8" t="str">
        <f aca="false">IF(I140&gt;=Summary!$L$6,"75%+ (all benefits)",IF(I140&gt;=Summary!$L$7,"55–74%",IF(I140&gt;=Summary!$L$8,"30–54%","Below 30%")))</f>
        <v>75%+ (all benefits)</v>
      </c>
    </row>
    <row r="141" customFormat="false" ht="15" hidden="false" customHeight="false" outlineLevel="0" collapsed="false">
      <c r="A141" s="36" t="n">
        <v>136</v>
      </c>
      <c r="B141" s="36" t="s">
        <v>22</v>
      </c>
      <c r="C141" s="36" t="s">
        <v>335</v>
      </c>
      <c r="D141" s="37" t="s">
        <v>336</v>
      </c>
      <c r="E141" s="38" t="n">
        <v>46300</v>
      </c>
      <c r="F141" s="36" t="n">
        <v>248</v>
      </c>
      <c r="G141" s="36" t="n">
        <v>118</v>
      </c>
      <c r="H141" s="36" t="n">
        <v>366</v>
      </c>
      <c r="I141" s="34" t="n">
        <f aca="false">ROUND(F141/H141*100,0)/100</f>
        <v>0.68</v>
      </c>
      <c r="J141" s="8" t="str">
        <f aca="false">IF(I141&gt;=Summary!$L$6,"Eligible","Shortage")</f>
        <v>Shortage</v>
      </c>
      <c r="K141" s="8" t="str">
        <f aca="false">IF(I141&lt;Summary!$L$8,"YES","No")</f>
        <v>No</v>
      </c>
      <c r="L141" s="8" t="str">
        <f aca="false">IF(I141&gt;=Summary!$L$7,"Counted","Not Counted")</f>
        <v>Counted</v>
      </c>
      <c r="M141" s="13" t="n">
        <f aca="false">IF(I141&gt;=Summary!$L$6,20,ROUND(I141/Summary!$L$6*10,1)*2)</f>
        <v>18.2</v>
      </c>
      <c r="N141" s="35" t="n">
        <f aca="false">20-M141</f>
        <v>1.8</v>
      </c>
      <c r="O141" s="8" t="str">
        <f aca="false">IF(I141&gt;=Summary!$L$6,"75%+ (all benefits)",IF(I141&gt;=Summary!$L$7,"55–74%",IF(I141&gt;=Summary!$L$8,"30–54%","Below 30%")))</f>
        <v>55–74%</v>
      </c>
    </row>
    <row r="142" customFormat="false" ht="15" hidden="false" customHeight="false" outlineLevel="0" collapsed="false">
      <c r="A142" s="8" t="n">
        <v>137</v>
      </c>
      <c r="B142" s="8" t="s">
        <v>22</v>
      </c>
      <c r="C142" s="8" t="s">
        <v>337</v>
      </c>
      <c r="D142" s="30" t="s">
        <v>338</v>
      </c>
      <c r="E142" s="9" t="n">
        <v>46300</v>
      </c>
      <c r="F142" s="8" t="n">
        <v>261</v>
      </c>
      <c r="G142" s="8" t="n">
        <v>105</v>
      </c>
      <c r="H142" s="8" t="n">
        <v>366</v>
      </c>
      <c r="I142" s="34" t="n">
        <f aca="false">ROUND(F142/H142*100,0)/100</f>
        <v>0.71</v>
      </c>
      <c r="J142" s="8" t="str">
        <f aca="false">IF(I142&gt;=Summary!$L$6,"Eligible","Shortage")</f>
        <v>Shortage</v>
      </c>
      <c r="K142" s="8" t="str">
        <f aca="false">IF(I142&lt;Summary!$L$8,"YES","No")</f>
        <v>No</v>
      </c>
      <c r="L142" s="8" t="str">
        <f aca="false">IF(I142&gt;=Summary!$L$7,"Counted","Not Counted")</f>
        <v>Counted</v>
      </c>
      <c r="M142" s="13" t="n">
        <f aca="false">IF(I142&gt;=Summary!$L$6,20,ROUND(I142/Summary!$L$6*10,1)*2)</f>
        <v>19</v>
      </c>
      <c r="N142" s="35" t="n">
        <f aca="false">20-M142</f>
        <v>1</v>
      </c>
      <c r="O142" s="8" t="str">
        <f aca="false">IF(I142&gt;=Summary!$L$6,"75%+ (all benefits)",IF(I142&gt;=Summary!$L$7,"55–74%",IF(I142&gt;=Summary!$L$8,"30–54%","Below 30%")))</f>
        <v>55–74%</v>
      </c>
    </row>
    <row r="143" customFormat="false" ht="15" hidden="false" customHeight="false" outlineLevel="0" collapsed="false">
      <c r="A143" s="36" t="n">
        <v>138</v>
      </c>
      <c r="B143" s="36" t="s">
        <v>22</v>
      </c>
      <c r="C143" s="36" t="s">
        <v>339</v>
      </c>
      <c r="D143" s="37" t="s">
        <v>340</v>
      </c>
      <c r="E143" s="38" t="n">
        <v>46300</v>
      </c>
      <c r="F143" s="36" t="n">
        <v>293</v>
      </c>
      <c r="G143" s="36" t="n">
        <v>73</v>
      </c>
      <c r="H143" s="36" t="n">
        <v>366</v>
      </c>
      <c r="I143" s="34" t="n">
        <f aca="false">ROUND(F143/H143*100,0)/100</f>
        <v>0.8</v>
      </c>
      <c r="J143" s="8" t="str">
        <f aca="false">IF(I143&gt;=Summary!$L$6,"Eligible","Shortage")</f>
        <v>Eligible</v>
      </c>
      <c r="K143" s="8" t="str">
        <f aca="false">IF(I143&lt;Summary!$L$8,"YES","No")</f>
        <v>No</v>
      </c>
      <c r="L143" s="8" t="str">
        <f aca="false">IF(I143&gt;=Summary!$L$7,"Counted","Not Counted")</f>
        <v>Counted</v>
      </c>
      <c r="M143" s="13" t="n">
        <f aca="false">IF(I143&gt;=Summary!$L$6,20,ROUND(I143/Summary!$L$6*10,1)*2)</f>
        <v>20</v>
      </c>
      <c r="N143" s="35" t="n">
        <f aca="false">20-M143</f>
        <v>0</v>
      </c>
      <c r="O143" s="8" t="str">
        <f aca="false">IF(I143&gt;=Summary!$L$6,"75%+ (all benefits)",IF(I143&gt;=Summary!$L$7,"55–74%",IF(I143&gt;=Summary!$L$8,"30–54%","Below 30%")))</f>
        <v>75%+ (all benefits)</v>
      </c>
    </row>
    <row r="144" customFormat="false" ht="15" hidden="false" customHeight="false" outlineLevel="0" collapsed="false">
      <c r="A144" s="8" t="n">
        <v>139</v>
      </c>
      <c r="B144" s="8" t="s">
        <v>22</v>
      </c>
      <c r="C144" s="8" t="s">
        <v>341</v>
      </c>
      <c r="D144" s="30" t="s">
        <v>342</v>
      </c>
      <c r="E144" s="9" t="n">
        <v>46300</v>
      </c>
      <c r="F144" s="8" t="n">
        <v>214</v>
      </c>
      <c r="G144" s="8" t="n">
        <v>152</v>
      </c>
      <c r="H144" s="8" t="n">
        <v>366</v>
      </c>
      <c r="I144" s="34" t="n">
        <f aca="false">ROUND(F144/H144*100,0)/100</f>
        <v>0.58</v>
      </c>
      <c r="J144" s="8" t="str">
        <f aca="false">IF(I144&gt;=Summary!$L$6,"Eligible","Shortage")</f>
        <v>Shortage</v>
      </c>
      <c r="K144" s="8" t="str">
        <f aca="false">IF(I144&lt;Summary!$L$8,"YES","No")</f>
        <v>No</v>
      </c>
      <c r="L144" s="8" t="str">
        <f aca="false">IF(I144&gt;=Summary!$L$7,"Counted","Not Counted")</f>
        <v>Counted</v>
      </c>
      <c r="M144" s="13" t="n">
        <f aca="false">IF(I144&gt;=Summary!$L$6,20,ROUND(I144/Summary!$L$6*10,1)*2)</f>
        <v>15.4</v>
      </c>
      <c r="N144" s="35" t="n">
        <f aca="false">20-M144</f>
        <v>4.6</v>
      </c>
      <c r="O144" s="8" t="str">
        <f aca="false">IF(I144&gt;=Summary!$L$6,"75%+ (all benefits)",IF(I144&gt;=Summary!$L$7,"55–74%",IF(I144&gt;=Summary!$L$8,"30–54%","Below 30%")))</f>
        <v>55–74%</v>
      </c>
    </row>
    <row r="145" customFormat="false" ht="15" hidden="false" customHeight="false" outlineLevel="0" collapsed="false">
      <c r="A145" s="36" t="n">
        <v>140</v>
      </c>
      <c r="B145" s="36" t="s">
        <v>22</v>
      </c>
      <c r="C145" s="36" t="s">
        <v>343</v>
      </c>
      <c r="D145" s="37" t="s">
        <v>344</v>
      </c>
      <c r="E145" s="38" t="n">
        <v>46300</v>
      </c>
      <c r="F145" s="36" t="n">
        <v>343</v>
      </c>
      <c r="G145" s="36" t="n">
        <v>23</v>
      </c>
      <c r="H145" s="36" t="n">
        <v>366</v>
      </c>
      <c r="I145" s="34" t="n">
        <f aca="false">ROUND(F145/H145*100,0)/100</f>
        <v>0.94</v>
      </c>
      <c r="J145" s="8" t="str">
        <f aca="false">IF(I145&gt;=Summary!$L$6,"Eligible","Shortage")</f>
        <v>Eligible</v>
      </c>
      <c r="K145" s="8" t="str">
        <f aca="false">IF(I145&lt;Summary!$L$8,"YES","No")</f>
        <v>No</v>
      </c>
      <c r="L145" s="8" t="str">
        <f aca="false">IF(I145&gt;=Summary!$L$7,"Counted","Not Counted")</f>
        <v>Counted</v>
      </c>
      <c r="M145" s="13" t="n">
        <f aca="false">IF(I145&gt;=Summary!$L$6,20,ROUND(I145/Summary!$L$6*10,1)*2)</f>
        <v>20</v>
      </c>
      <c r="N145" s="35" t="n">
        <f aca="false">20-M145</f>
        <v>0</v>
      </c>
      <c r="O145" s="8" t="str">
        <f aca="false">IF(I145&gt;=Summary!$L$6,"75%+ (all benefits)",IF(I145&gt;=Summary!$L$7,"55–74%",IF(I145&gt;=Summary!$L$8,"30–54%","Below 30%")))</f>
        <v>75%+ (all benefits)</v>
      </c>
    </row>
    <row r="146" customFormat="false" ht="15" hidden="false" customHeight="false" outlineLevel="0" collapsed="false">
      <c r="A146" s="8" t="n">
        <v>141</v>
      </c>
      <c r="B146" s="8" t="s">
        <v>22</v>
      </c>
      <c r="C146" s="8" t="s">
        <v>345</v>
      </c>
      <c r="D146" s="30" t="s">
        <v>346</v>
      </c>
      <c r="E146" s="9" t="n">
        <v>46300</v>
      </c>
      <c r="F146" s="8" t="n">
        <v>317</v>
      </c>
      <c r="G146" s="8" t="n">
        <v>49</v>
      </c>
      <c r="H146" s="8" t="n">
        <v>366</v>
      </c>
      <c r="I146" s="34" t="n">
        <f aca="false">ROUND(F146/H146*100,0)/100</f>
        <v>0.87</v>
      </c>
      <c r="J146" s="8" t="str">
        <f aca="false">IF(I146&gt;=Summary!$L$6,"Eligible","Shortage")</f>
        <v>Eligible</v>
      </c>
      <c r="K146" s="8" t="str">
        <f aca="false">IF(I146&lt;Summary!$L$8,"YES","No")</f>
        <v>No</v>
      </c>
      <c r="L146" s="8" t="str">
        <f aca="false">IF(I146&gt;=Summary!$L$7,"Counted","Not Counted")</f>
        <v>Counted</v>
      </c>
      <c r="M146" s="13" t="n">
        <f aca="false">IF(I146&gt;=Summary!$L$6,20,ROUND(I146/Summary!$L$6*10,1)*2)</f>
        <v>20</v>
      </c>
      <c r="N146" s="35" t="n">
        <f aca="false">20-M146</f>
        <v>0</v>
      </c>
      <c r="O146" s="8" t="str">
        <f aca="false">IF(I146&gt;=Summary!$L$6,"75%+ (all benefits)",IF(I146&gt;=Summary!$L$7,"55–74%",IF(I146&gt;=Summary!$L$8,"30–54%","Below 30%")))</f>
        <v>75%+ (all benefits)</v>
      </c>
    </row>
    <row r="147" customFormat="false" ht="15" hidden="false" customHeight="false" outlineLevel="0" collapsed="false">
      <c r="A147" s="36" t="n">
        <v>142</v>
      </c>
      <c r="B147" s="36" t="s">
        <v>22</v>
      </c>
      <c r="C147" s="36" t="s">
        <v>347</v>
      </c>
      <c r="D147" s="37" t="s">
        <v>348</v>
      </c>
      <c r="E147" s="38" t="n">
        <v>46300</v>
      </c>
      <c r="F147" s="36" t="n">
        <v>275</v>
      </c>
      <c r="G147" s="36" t="n">
        <v>91</v>
      </c>
      <c r="H147" s="36" t="n">
        <v>366</v>
      </c>
      <c r="I147" s="34" t="n">
        <f aca="false">ROUND(F147/H147*100,0)/100</f>
        <v>0.75</v>
      </c>
      <c r="J147" s="8" t="str">
        <f aca="false">IF(I147&gt;=Summary!$L$6,"Eligible","Shortage")</f>
        <v>Eligible</v>
      </c>
      <c r="K147" s="8" t="str">
        <f aca="false">IF(I147&lt;Summary!$L$8,"YES","No")</f>
        <v>No</v>
      </c>
      <c r="L147" s="8" t="str">
        <f aca="false">IF(I147&gt;=Summary!$L$7,"Counted","Not Counted")</f>
        <v>Counted</v>
      </c>
      <c r="M147" s="13" t="n">
        <f aca="false">IF(I147&gt;=Summary!$L$6,20,ROUND(I147/Summary!$L$6*10,1)*2)</f>
        <v>20</v>
      </c>
      <c r="N147" s="35" t="n">
        <f aca="false">20-M147</f>
        <v>0</v>
      </c>
      <c r="O147" s="8" t="str">
        <f aca="false">IF(I147&gt;=Summary!$L$6,"75%+ (all benefits)",IF(I147&gt;=Summary!$L$7,"55–74%",IF(I147&gt;=Summary!$L$8,"30–54%","Below 30%")))</f>
        <v>75%+ (all benefits)</v>
      </c>
    </row>
    <row r="148" customFormat="false" ht="15" hidden="false" customHeight="false" outlineLevel="0" collapsed="false">
      <c r="A148" s="8" t="n">
        <v>143</v>
      </c>
      <c r="B148" s="8" t="s">
        <v>22</v>
      </c>
      <c r="C148" s="8" t="s">
        <v>349</v>
      </c>
      <c r="D148" s="30" t="s">
        <v>350</v>
      </c>
      <c r="E148" s="9" t="n">
        <v>46300</v>
      </c>
      <c r="F148" s="8" t="n">
        <v>274</v>
      </c>
      <c r="G148" s="8" t="n">
        <v>92</v>
      </c>
      <c r="H148" s="8" t="n">
        <v>366</v>
      </c>
      <c r="I148" s="34" t="n">
        <f aca="false">ROUND(F148/H148*100,0)/100</f>
        <v>0.75</v>
      </c>
      <c r="J148" s="8" t="str">
        <f aca="false">IF(I148&gt;=Summary!$L$6,"Eligible","Shortage")</f>
        <v>Eligible</v>
      </c>
      <c r="K148" s="8" t="str">
        <f aca="false">IF(I148&lt;Summary!$L$8,"YES","No")</f>
        <v>No</v>
      </c>
      <c r="L148" s="8" t="str">
        <f aca="false">IF(I148&gt;=Summary!$L$7,"Counted","Not Counted")</f>
        <v>Counted</v>
      </c>
      <c r="M148" s="13" t="n">
        <f aca="false">IF(I148&gt;=Summary!$L$6,20,ROUND(I148/Summary!$L$6*10,1)*2)</f>
        <v>20</v>
      </c>
      <c r="N148" s="35" t="n">
        <f aca="false">20-M148</f>
        <v>0</v>
      </c>
      <c r="O148" s="8" t="str">
        <f aca="false">IF(I148&gt;=Summary!$L$6,"75%+ (all benefits)",IF(I148&gt;=Summary!$L$7,"55–74%",IF(I148&gt;=Summary!$L$8,"30–54%","Below 30%")))</f>
        <v>75%+ (all benefits)</v>
      </c>
    </row>
    <row r="149" customFormat="false" ht="15" hidden="false" customHeight="false" outlineLevel="0" collapsed="false">
      <c r="A149" s="36" t="n">
        <v>144</v>
      </c>
      <c r="B149" s="36" t="s">
        <v>22</v>
      </c>
      <c r="C149" s="36" t="s">
        <v>351</v>
      </c>
      <c r="D149" s="37" t="s">
        <v>352</v>
      </c>
      <c r="E149" s="38" t="n">
        <v>46300</v>
      </c>
      <c r="F149" s="36" t="n">
        <v>350</v>
      </c>
      <c r="G149" s="36" t="n">
        <v>31</v>
      </c>
      <c r="H149" s="36" t="n">
        <v>381</v>
      </c>
      <c r="I149" s="34" t="n">
        <f aca="false">ROUND(F149/H149*100,0)/100</f>
        <v>0.92</v>
      </c>
      <c r="J149" s="8" t="str">
        <f aca="false">IF(I149&gt;=Summary!$L$6,"Eligible","Shortage")</f>
        <v>Eligible</v>
      </c>
      <c r="K149" s="8" t="str">
        <f aca="false">IF(I149&lt;Summary!$L$8,"YES","No")</f>
        <v>No</v>
      </c>
      <c r="L149" s="8" t="str">
        <f aca="false">IF(I149&gt;=Summary!$L$7,"Counted","Not Counted")</f>
        <v>Counted</v>
      </c>
      <c r="M149" s="13" t="n">
        <f aca="false">IF(I149&gt;=Summary!$L$6,20,ROUND(I149/Summary!$L$6*10,1)*2)</f>
        <v>20</v>
      </c>
      <c r="N149" s="35" t="n">
        <f aca="false">20-M149</f>
        <v>0</v>
      </c>
      <c r="O149" s="8" t="str">
        <f aca="false">IF(I149&gt;=Summary!$L$6,"75%+ (all benefits)",IF(I149&gt;=Summary!$L$7,"55–74%",IF(I149&gt;=Summary!$L$8,"30–54%","Below 30%")))</f>
        <v>75%+ (all benefits)</v>
      </c>
    </row>
    <row r="150" customFormat="false" ht="15" hidden="false" customHeight="false" outlineLevel="0" collapsed="false">
      <c r="A150" s="8" t="n">
        <v>145</v>
      </c>
      <c r="B150" s="8" t="s">
        <v>22</v>
      </c>
      <c r="C150" s="8" t="s">
        <v>353</v>
      </c>
      <c r="D150" s="30" t="s">
        <v>354</v>
      </c>
      <c r="E150" s="9" t="n">
        <v>46300</v>
      </c>
      <c r="F150" s="8" t="n">
        <v>317</v>
      </c>
      <c r="G150" s="8" t="n">
        <v>49</v>
      </c>
      <c r="H150" s="8" t="n">
        <v>366</v>
      </c>
      <c r="I150" s="34" t="n">
        <f aca="false">ROUND(F150/H150*100,0)/100</f>
        <v>0.87</v>
      </c>
      <c r="J150" s="8" t="str">
        <f aca="false">IF(I150&gt;=Summary!$L$6,"Eligible","Shortage")</f>
        <v>Eligible</v>
      </c>
      <c r="K150" s="8" t="str">
        <f aca="false">IF(I150&lt;Summary!$L$8,"YES","No")</f>
        <v>No</v>
      </c>
      <c r="L150" s="8" t="str">
        <f aca="false">IF(I150&gt;=Summary!$L$7,"Counted","Not Counted")</f>
        <v>Counted</v>
      </c>
      <c r="M150" s="13" t="n">
        <f aca="false">IF(I150&gt;=Summary!$L$6,20,ROUND(I150/Summary!$L$6*10,1)*2)</f>
        <v>20</v>
      </c>
      <c r="N150" s="35" t="n">
        <f aca="false">20-M150</f>
        <v>0</v>
      </c>
      <c r="O150" s="8" t="str">
        <f aca="false">IF(I150&gt;=Summary!$L$6,"75%+ (all benefits)",IF(I150&gt;=Summary!$L$7,"55–74%",IF(I150&gt;=Summary!$L$8,"30–54%","Below 30%")))</f>
        <v>75%+ (all benefits)</v>
      </c>
    </row>
    <row r="151" customFormat="false" ht="15" hidden="false" customHeight="false" outlineLevel="0" collapsed="false">
      <c r="A151" s="36" t="n">
        <v>146</v>
      </c>
      <c r="B151" s="36" t="s">
        <v>22</v>
      </c>
      <c r="C151" s="36" t="s">
        <v>355</v>
      </c>
      <c r="D151" s="37" t="s">
        <v>356</v>
      </c>
      <c r="E151" s="38" t="n">
        <v>46300</v>
      </c>
      <c r="F151" s="36" t="n">
        <v>325</v>
      </c>
      <c r="G151" s="36" t="n">
        <v>41</v>
      </c>
      <c r="H151" s="36" t="n">
        <v>366</v>
      </c>
      <c r="I151" s="34" t="n">
        <f aca="false">ROUND(F151/H151*100,0)/100</f>
        <v>0.89</v>
      </c>
      <c r="J151" s="8" t="str">
        <f aca="false">IF(I151&gt;=Summary!$L$6,"Eligible","Shortage")</f>
        <v>Eligible</v>
      </c>
      <c r="K151" s="8" t="str">
        <f aca="false">IF(I151&lt;Summary!$L$8,"YES","No")</f>
        <v>No</v>
      </c>
      <c r="L151" s="8" t="str">
        <f aca="false">IF(I151&gt;=Summary!$L$7,"Counted","Not Counted")</f>
        <v>Counted</v>
      </c>
      <c r="M151" s="13" t="n">
        <f aca="false">IF(I151&gt;=Summary!$L$6,20,ROUND(I151/Summary!$L$6*10,1)*2)</f>
        <v>20</v>
      </c>
      <c r="N151" s="35" t="n">
        <f aca="false">20-M151</f>
        <v>0</v>
      </c>
      <c r="O151" s="8" t="str">
        <f aca="false">IF(I151&gt;=Summary!$L$6,"75%+ (all benefits)",IF(I151&gt;=Summary!$L$7,"55–74%",IF(I151&gt;=Summary!$L$8,"30–54%","Below 30%")))</f>
        <v>75%+ (all benefits)</v>
      </c>
    </row>
    <row r="152" customFormat="false" ht="15" hidden="false" customHeight="false" outlineLevel="0" collapsed="false">
      <c r="A152" s="8" t="n">
        <v>147</v>
      </c>
      <c r="B152" s="8" t="s">
        <v>22</v>
      </c>
      <c r="C152" s="8" t="s">
        <v>357</v>
      </c>
      <c r="D152" s="30" t="s">
        <v>358</v>
      </c>
      <c r="E152" s="9" t="n">
        <v>46300</v>
      </c>
      <c r="F152" s="8" t="n">
        <v>317</v>
      </c>
      <c r="G152" s="8" t="n">
        <v>49</v>
      </c>
      <c r="H152" s="8" t="n">
        <v>366</v>
      </c>
      <c r="I152" s="34" t="n">
        <f aca="false">ROUND(F152/H152*100,0)/100</f>
        <v>0.87</v>
      </c>
      <c r="J152" s="8" t="str">
        <f aca="false">IF(I152&gt;=Summary!$L$6,"Eligible","Shortage")</f>
        <v>Eligible</v>
      </c>
      <c r="K152" s="8" t="str">
        <f aca="false">IF(I152&lt;Summary!$L$8,"YES","No")</f>
        <v>No</v>
      </c>
      <c r="L152" s="8" t="str">
        <f aca="false">IF(I152&gt;=Summary!$L$7,"Counted","Not Counted")</f>
        <v>Counted</v>
      </c>
      <c r="M152" s="13" t="n">
        <f aca="false">IF(I152&gt;=Summary!$L$6,20,ROUND(I152/Summary!$L$6*10,1)*2)</f>
        <v>20</v>
      </c>
      <c r="N152" s="35" t="n">
        <f aca="false">20-M152</f>
        <v>0</v>
      </c>
      <c r="O152" s="8" t="str">
        <f aca="false">IF(I152&gt;=Summary!$L$6,"75%+ (all benefits)",IF(I152&gt;=Summary!$L$7,"55–74%",IF(I152&gt;=Summary!$L$8,"30–54%","Below 30%")))</f>
        <v>75%+ (all benefits)</v>
      </c>
    </row>
    <row r="153" customFormat="false" ht="15" hidden="false" customHeight="false" outlineLevel="0" collapsed="false">
      <c r="A153" s="36" t="n">
        <v>148</v>
      </c>
      <c r="B153" s="36" t="s">
        <v>22</v>
      </c>
      <c r="C153" s="36" t="s">
        <v>359</v>
      </c>
      <c r="D153" s="37" t="s">
        <v>360</v>
      </c>
      <c r="E153" s="38" t="n">
        <v>46300</v>
      </c>
      <c r="F153" s="36" t="n">
        <v>286</v>
      </c>
      <c r="G153" s="36" t="n">
        <v>80</v>
      </c>
      <c r="H153" s="36" t="n">
        <v>366</v>
      </c>
      <c r="I153" s="34" t="n">
        <f aca="false">ROUND(F153/H153*100,0)/100</f>
        <v>0.78</v>
      </c>
      <c r="J153" s="8" t="str">
        <f aca="false">IF(I153&gt;=Summary!$L$6,"Eligible","Shortage")</f>
        <v>Eligible</v>
      </c>
      <c r="K153" s="8" t="str">
        <f aca="false">IF(I153&lt;Summary!$L$8,"YES","No")</f>
        <v>No</v>
      </c>
      <c r="L153" s="8" t="str">
        <f aca="false">IF(I153&gt;=Summary!$L$7,"Counted","Not Counted")</f>
        <v>Counted</v>
      </c>
      <c r="M153" s="13" t="n">
        <f aca="false">IF(I153&gt;=Summary!$L$6,20,ROUND(I153/Summary!$L$6*10,1)*2)</f>
        <v>20</v>
      </c>
      <c r="N153" s="35" t="n">
        <f aca="false">20-M153</f>
        <v>0</v>
      </c>
      <c r="O153" s="8" t="str">
        <f aca="false">IF(I153&gt;=Summary!$L$6,"75%+ (all benefits)",IF(I153&gt;=Summary!$L$7,"55–74%",IF(I153&gt;=Summary!$L$8,"30–54%","Below 30%")))</f>
        <v>75%+ (all benefits)</v>
      </c>
    </row>
    <row r="154" customFormat="false" ht="15" hidden="false" customHeight="false" outlineLevel="0" collapsed="false">
      <c r="A154" s="8" t="n">
        <v>149</v>
      </c>
      <c r="B154" s="8" t="s">
        <v>22</v>
      </c>
      <c r="C154" s="8" t="s">
        <v>361</v>
      </c>
      <c r="D154" s="30" t="s">
        <v>362</v>
      </c>
      <c r="E154" s="9" t="n">
        <v>46300</v>
      </c>
      <c r="F154" s="8" t="n">
        <v>331</v>
      </c>
      <c r="G154" s="8" t="n">
        <v>35</v>
      </c>
      <c r="H154" s="8" t="n">
        <v>366</v>
      </c>
      <c r="I154" s="34" t="n">
        <f aca="false">ROUND(F154/H154*100,0)/100</f>
        <v>0.9</v>
      </c>
      <c r="J154" s="8" t="str">
        <f aca="false">IF(I154&gt;=Summary!$L$6,"Eligible","Shortage")</f>
        <v>Eligible</v>
      </c>
      <c r="K154" s="8" t="str">
        <f aca="false">IF(I154&lt;Summary!$L$8,"YES","No")</f>
        <v>No</v>
      </c>
      <c r="L154" s="8" t="str">
        <f aca="false">IF(I154&gt;=Summary!$L$7,"Counted","Not Counted")</f>
        <v>Counted</v>
      </c>
      <c r="M154" s="13" t="n">
        <f aca="false">IF(I154&gt;=Summary!$L$6,20,ROUND(I154/Summary!$L$6*10,1)*2)</f>
        <v>20</v>
      </c>
      <c r="N154" s="35" t="n">
        <f aca="false">20-M154</f>
        <v>0</v>
      </c>
      <c r="O154" s="8" t="str">
        <f aca="false">IF(I154&gt;=Summary!$L$6,"75%+ (all benefits)",IF(I154&gt;=Summary!$L$7,"55–74%",IF(I154&gt;=Summary!$L$8,"30–54%","Below 30%")))</f>
        <v>75%+ (all benefits)</v>
      </c>
    </row>
    <row r="155" customFormat="false" ht="15" hidden="false" customHeight="false" outlineLevel="0" collapsed="false">
      <c r="A155" s="36" t="n">
        <v>150</v>
      </c>
      <c r="B155" s="36" t="s">
        <v>22</v>
      </c>
      <c r="C155" s="36" t="s">
        <v>363</v>
      </c>
      <c r="D155" s="37" t="s">
        <v>364</v>
      </c>
      <c r="E155" s="38" t="n">
        <v>46300</v>
      </c>
      <c r="F155" s="36" t="n">
        <v>322</v>
      </c>
      <c r="G155" s="36" t="n">
        <v>44</v>
      </c>
      <c r="H155" s="36" t="n">
        <v>366</v>
      </c>
      <c r="I155" s="34" t="n">
        <f aca="false">ROUND(F155/H155*100,0)/100</f>
        <v>0.88</v>
      </c>
      <c r="J155" s="8" t="str">
        <f aca="false">IF(I155&gt;=Summary!$L$6,"Eligible","Shortage")</f>
        <v>Eligible</v>
      </c>
      <c r="K155" s="8" t="str">
        <f aca="false">IF(I155&lt;Summary!$L$8,"YES","No")</f>
        <v>No</v>
      </c>
      <c r="L155" s="8" t="str">
        <f aca="false">IF(I155&gt;=Summary!$L$7,"Counted","Not Counted")</f>
        <v>Counted</v>
      </c>
      <c r="M155" s="13" t="n">
        <f aca="false">IF(I155&gt;=Summary!$L$6,20,ROUND(I155/Summary!$L$6*10,1)*2)</f>
        <v>20</v>
      </c>
      <c r="N155" s="35" t="n">
        <f aca="false">20-M155</f>
        <v>0</v>
      </c>
      <c r="O155" s="8" t="str">
        <f aca="false">IF(I155&gt;=Summary!$L$6,"75%+ (all benefits)",IF(I155&gt;=Summary!$L$7,"55–74%",IF(I155&gt;=Summary!$L$8,"30–54%","Below 30%")))</f>
        <v>75%+ (all benefits)</v>
      </c>
    </row>
    <row r="156" customFormat="false" ht="15" hidden="false" customHeight="false" outlineLevel="0" collapsed="false">
      <c r="A156" s="8" t="n">
        <v>151</v>
      </c>
      <c r="B156" s="8" t="s">
        <v>22</v>
      </c>
      <c r="C156" s="8" t="s">
        <v>365</v>
      </c>
      <c r="D156" s="30" t="s">
        <v>366</v>
      </c>
      <c r="E156" s="9" t="n">
        <v>46300</v>
      </c>
      <c r="F156" s="8" t="n">
        <v>300</v>
      </c>
      <c r="G156" s="8" t="n">
        <v>66</v>
      </c>
      <c r="H156" s="8" t="n">
        <v>366</v>
      </c>
      <c r="I156" s="34" t="n">
        <f aca="false">ROUND(F156/H156*100,0)/100</f>
        <v>0.82</v>
      </c>
      <c r="J156" s="8" t="str">
        <f aca="false">IF(I156&gt;=Summary!$L$6,"Eligible","Shortage")</f>
        <v>Eligible</v>
      </c>
      <c r="K156" s="8" t="str">
        <f aca="false">IF(I156&lt;Summary!$L$8,"YES","No")</f>
        <v>No</v>
      </c>
      <c r="L156" s="8" t="str">
        <f aca="false">IF(I156&gt;=Summary!$L$7,"Counted","Not Counted")</f>
        <v>Counted</v>
      </c>
      <c r="M156" s="13" t="n">
        <f aca="false">IF(I156&gt;=Summary!$L$6,20,ROUND(I156/Summary!$L$6*10,1)*2)</f>
        <v>20</v>
      </c>
      <c r="N156" s="35" t="n">
        <f aca="false">20-M156</f>
        <v>0</v>
      </c>
      <c r="O156" s="8" t="str">
        <f aca="false">IF(I156&gt;=Summary!$L$6,"75%+ (all benefits)",IF(I156&gt;=Summary!$L$7,"55–74%",IF(I156&gt;=Summary!$L$8,"30–54%","Below 30%")))</f>
        <v>75%+ (all benefits)</v>
      </c>
    </row>
    <row r="157" customFormat="false" ht="15" hidden="false" customHeight="false" outlineLevel="0" collapsed="false">
      <c r="A157" s="36" t="n">
        <v>152</v>
      </c>
      <c r="B157" s="36" t="s">
        <v>22</v>
      </c>
      <c r="C157" s="36" t="s">
        <v>367</v>
      </c>
      <c r="D157" s="37" t="s">
        <v>368</v>
      </c>
      <c r="E157" s="38" t="n">
        <v>46300</v>
      </c>
      <c r="F157" s="36" t="n">
        <v>270</v>
      </c>
      <c r="G157" s="36" t="n">
        <v>96</v>
      </c>
      <c r="H157" s="36" t="n">
        <v>366</v>
      </c>
      <c r="I157" s="34" t="n">
        <f aca="false">ROUND(F157/H157*100,0)/100</f>
        <v>0.74</v>
      </c>
      <c r="J157" s="8" t="str">
        <f aca="false">IF(I157&gt;=Summary!$L$6,"Eligible","Shortage")</f>
        <v>Shortage</v>
      </c>
      <c r="K157" s="8" t="str">
        <f aca="false">IF(I157&lt;Summary!$L$8,"YES","No")</f>
        <v>No</v>
      </c>
      <c r="L157" s="8" t="str">
        <f aca="false">IF(I157&gt;=Summary!$L$7,"Counted","Not Counted")</f>
        <v>Counted</v>
      </c>
      <c r="M157" s="13" t="n">
        <f aca="false">IF(I157&gt;=Summary!$L$6,20,ROUND(I157/Summary!$L$6*10,1)*2)</f>
        <v>19.8</v>
      </c>
      <c r="N157" s="35" t="n">
        <f aca="false">20-M157</f>
        <v>0.199999999999999</v>
      </c>
      <c r="O157" s="8" t="str">
        <f aca="false">IF(I157&gt;=Summary!$L$6,"75%+ (all benefits)",IF(I157&gt;=Summary!$L$7,"55–74%",IF(I157&gt;=Summary!$L$8,"30–54%","Below 30%")))</f>
        <v>55–74%</v>
      </c>
    </row>
    <row r="158" customFormat="false" ht="15" hidden="false" customHeight="false" outlineLevel="0" collapsed="false">
      <c r="A158" s="8" t="n">
        <v>153</v>
      </c>
      <c r="B158" s="8" t="s">
        <v>22</v>
      </c>
      <c r="C158" s="8" t="s">
        <v>369</v>
      </c>
      <c r="D158" s="30" t="s">
        <v>370</v>
      </c>
      <c r="E158" s="9" t="n">
        <v>46300</v>
      </c>
      <c r="F158" s="8" t="n">
        <v>243</v>
      </c>
      <c r="G158" s="8" t="n">
        <v>123</v>
      </c>
      <c r="H158" s="8" t="n">
        <v>366</v>
      </c>
      <c r="I158" s="34" t="n">
        <f aca="false">ROUND(F158/H158*100,0)/100</f>
        <v>0.66</v>
      </c>
      <c r="J158" s="8" t="str">
        <f aca="false">IF(I158&gt;=Summary!$L$6,"Eligible","Shortage")</f>
        <v>Shortage</v>
      </c>
      <c r="K158" s="8" t="str">
        <f aca="false">IF(I158&lt;Summary!$L$8,"YES","No")</f>
        <v>No</v>
      </c>
      <c r="L158" s="8" t="str">
        <f aca="false">IF(I158&gt;=Summary!$L$7,"Counted","Not Counted")</f>
        <v>Counted</v>
      </c>
      <c r="M158" s="13" t="n">
        <f aca="false">IF(I158&gt;=Summary!$L$6,20,ROUND(I158/Summary!$L$6*10,1)*2)</f>
        <v>17.6</v>
      </c>
      <c r="N158" s="35" t="n">
        <f aca="false">20-M158</f>
        <v>2.4</v>
      </c>
      <c r="O158" s="8" t="str">
        <f aca="false">IF(I158&gt;=Summary!$L$6,"75%+ (all benefits)",IF(I158&gt;=Summary!$L$7,"55–74%",IF(I158&gt;=Summary!$L$8,"30–54%","Below 30%")))</f>
        <v>55–74%</v>
      </c>
    </row>
    <row r="159" customFormat="false" ht="15" hidden="false" customHeight="false" outlineLevel="0" collapsed="false">
      <c r="A159" s="36" t="n">
        <v>154</v>
      </c>
      <c r="B159" s="36" t="s">
        <v>22</v>
      </c>
      <c r="C159" s="36" t="s">
        <v>371</v>
      </c>
      <c r="D159" s="37" t="s">
        <v>372</v>
      </c>
      <c r="E159" s="38" t="n">
        <v>46300</v>
      </c>
      <c r="F159" s="36" t="n">
        <v>213</v>
      </c>
      <c r="G159" s="36" t="n">
        <v>153</v>
      </c>
      <c r="H159" s="36" t="n">
        <v>366</v>
      </c>
      <c r="I159" s="34" t="n">
        <f aca="false">ROUND(F159/H159*100,0)/100</f>
        <v>0.58</v>
      </c>
      <c r="J159" s="8" t="str">
        <f aca="false">IF(I159&gt;=Summary!$L$6,"Eligible","Shortage")</f>
        <v>Shortage</v>
      </c>
      <c r="K159" s="8" t="str">
        <f aca="false">IF(I159&lt;Summary!$L$8,"YES","No")</f>
        <v>No</v>
      </c>
      <c r="L159" s="8" t="str">
        <f aca="false">IF(I159&gt;=Summary!$L$7,"Counted","Not Counted")</f>
        <v>Counted</v>
      </c>
      <c r="M159" s="13" t="n">
        <f aca="false">IF(I159&gt;=Summary!$L$6,20,ROUND(I159/Summary!$L$6*10,1)*2)</f>
        <v>15.4</v>
      </c>
      <c r="N159" s="35" t="n">
        <f aca="false">20-M159</f>
        <v>4.6</v>
      </c>
      <c r="O159" s="8" t="str">
        <f aca="false">IF(I159&gt;=Summary!$L$6,"75%+ (all benefits)",IF(I159&gt;=Summary!$L$7,"55–74%",IF(I159&gt;=Summary!$L$8,"30–54%","Below 30%")))</f>
        <v>55–74%</v>
      </c>
    </row>
    <row r="160" customFormat="false" ht="15" hidden="false" customHeight="false" outlineLevel="0" collapsed="false">
      <c r="A160" s="8" t="n">
        <v>155</v>
      </c>
      <c r="B160" s="8" t="s">
        <v>22</v>
      </c>
      <c r="C160" s="8" t="s">
        <v>373</v>
      </c>
      <c r="D160" s="30" t="s">
        <v>374</v>
      </c>
      <c r="E160" s="9" t="n">
        <v>46300</v>
      </c>
      <c r="F160" s="8" t="n">
        <v>311</v>
      </c>
      <c r="G160" s="8" t="n">
        <v>55</v>
      </c>
      <c r="H160" s="8" t="n">
        <v>366</v>
      </c>
      <c r="I160" s="34" t="n">
        <f aca="false">ROUND(F160/H160*100,0)/100</f>
        <v>0.85</v>
      </c>
      <c r="J160" s="8" t="str">
        <f aca="false">IF(I160&gt;=Summary!$L$6,"Eligible","Shortage")</f>
        <v>Eligible</v>
      </c>
      <c r="K160" s="8" t="str">
        <f aca="false">IF(I160&lt;Summary!$L$8,"YES","No")</f>
        <v>No</v>
      </c>
      <c r="L160" s="8" t="str">
        <f aca="false">IF(I160&gt;=Summary!$L$7,"Counted","Not Counted")</f>
        <v>Counted</v>
      </c>
      <c r="M160" s="13" t="n">
        <f aca="false">IF(I160&gt;=Summary!$L$6,20,ROUND(I160/Summary!$L$6*10,1)*2)</f>
        <v>20</v>
      </c>
      <c r="N160" s="35" t="n">
        <f aca="false">20-M160</f>
        <v>0</v>
      </c>
      <c r="O160" s="8" t="str">
        <f aca="false">IF(I160&gt;=Summary!$L$6,"75%+ (all benefits)",IF(I160&gt;=Summary!$L$7,"55–74%",IF(I160&gt;=Summary!$L$8,"30–54%","Below 30%")))</f>
        <v>75%+ (all benefits)</v>
      </c>
    </row>
    <row r="161" customFormat="false" ht="15" hidden="false" customHeight="false" outlineLevel="0" collapsed="false">
      <c r="A161" s="36" t="n">
        <v>156</v>
      </c>
      <c r="B161" s="36" t="s">
        <v>22</v>
      </c>
      <c r="C161" s="36" t="s">
        <v>375</v>
      </c>
      <c r="D161" s="37" t="s">
        <v>376</v>
      </c>
      <c r="E161" s="38" t="n">
        <v>46300</v>
      </c>
      <c r="F161" s="36" t="n">
        <v>319</v>
      </c>
      <c r="G161" s="36" t="n">
        <v>47</v>
      </c>
      <c r="H161" s="36" t="n">
        <v>366</v>
      </c>
      <c r="I161" s="34" t="n">
        <f aca="false">ROUND(F161/H161*100,0)/100</f>
        <v>0.87</v>
      </c>
      <c r="J161" s="8" t="str">
        <f aca="false">IF(I161&gt;=Summary!$L$6,"Eligible","Shortage")</f>
        <v>Eligible</v>
      </c>
      <c r="K161" s="8" t="str">
        <f aca="false">IF(I161&lt;Summary!$L$8,"YES","No")</f>
        <v>No</v>
      </c>
      <c r="L161" s="8" t="str">
        <f aca="false">IF(I161&gt;=Summary!$L$7,"Counted","Not Counted")</f>
        <v>Counted</v>
      </c>
      <c r="M161" s="13" t="n">
        <f aca="false">IF(I161&gt;=Summary!$L$6,20,ROUND(I161/Summary!$L$6*10,1)*2)</f>
        <v>20</v>
      </c>
      <c r="N161" s="35" t="n">
        <f aca="false">20-M161</f>
        <v>0</v>
      </c>
      <c r="O161" s="8" t="str">
        <f aca="false">IF(I161&gt;=Summary!$L$6,"75%+ (all benefits)",IF(I161&gt;=Summary!$L$7,"55–74%",IF(I161&gt;=Summary!$L$8,"30–54%","Below 30%")))</f>
        <v>75%+ (all benefits)</v>
      </c>
    </row>
    <row r="162" customFormat="false" ht="15" hidden="false" customHeight="false" outlineLevel="0" collapsed="false">
      <c r="A162" s="8" t="n">
        <v>157</v>
      </c>
      <c r="B162" s="8" t="s">
        <v>22</v>
      </c>
      <c r="C162" s="8" t="s">
        <v>377</v>
      </c>
      <c r="D162" s="30" t="s">
        <v>378</v>
      </c>
      <c r="E162" s="9" t="n">
        <v>46300</v>
      </c>
      <c r="F162" s="8" t="n">
        <v>281</v>
      </c>
      <c r="G162" s="8" t="n">
        <v>85</v>
      </c>
      <c r="H162" s="8" t="n">
        <v>366</v>
      </c>
      <c r="I162" s="34" t="n">
        <f aca="false">ROUND(F162/H162*100,0)/100</f>
        <v>0.77</v>
      </c>
      <c r="J162" s="8" t="str">
        <f aca="false">IF(I162&gt;=Summary!$L$6,"Eligible","Shortage")</f>
        <v>Eligible</v>
      </c>
      <c r="K162" s="8" t="str">
        <f aca="false">IF(I162&lt;Summary!$L$8,"YES","No")</f>
        <v>No</v>
      </c>
      <c r="L162" s="8" t="str">
        <f aca="false">IF(I162&gt;=Summary!$L$7,"Counted","Not Counted")</f>
        <v>Counted</v>
      </c>
      <c r="M162" s="13" t="n">
        <f aca="false">IF(I162&gt;=Summary!$L$6,20,ROUND(I162/Summary!$L$6*10,1)*2)</f>
        <v>20</v>
      </c>
      <c r="N162" s="35" t="n">
        <f aca="false">20-M162</f>
        <v>0</v>
      </c>
      <c r="O162" s="8" t="str">
        <f aca="false">IF(I162&gt;=Summary!$L$6,"75%+ (all benefits)",IF(I162&gt;=Summary!$L$7,"55–74%",IF(I162&gt;=Summary!$L$8,"30–54%","Below 30%")))</f>
        <v>75%+ (all benefits)</v>
      </c>
    </row>
    <row r="163" customFormat="false" ht="15" hidden="false" customHeight="false" outlineLevel="0" collapsed="false">
      <c r="A163" s="36" t="n">
        <v>158</v>
      </c>
      <c r="B163" s="36" t="s">
        <v>22</v>
      </c>
      <c r="C163" s="36" t="s">
        <v>379</v>
      </c>
      <c r="D163" s="37" t="s">
        <v>380</v>
      </c>
      <c r="E163" s="38" t="n">
        <v>46300</v>
      </c>
      <c r="F163" s="36" t="n">
        <v>269</v>
      </c>
      <c r="G163" s="36" t="n">
        <v>97</v>
      </c>
      <c r="H163" s="36" t="n">
        <v>366</v>
      </c>
      <c r="I163" s="34" t="n">
        <f aca="false">ROUND(F163/H163*100,0)/100</f>
        <v>0.73</v>
      </c>
      <c r="J163" s="8" t="str">
        <f aca="false">IF(I163&gt;=Summary!$L$6,"Eligible","Shortage")</f>
        <v>Shortage</v>
      </c>
      <c r="K163" s="8" t="str">
        <f aca="false">IF(I163&lt;Summary!$L$8,"YES","No")</f>
        <v>No</v>
      </c>
      <c r="L163" s="8" t="str">
        <f aca="false">IF(I163&gt;=Summary!$L$7,"Counted","Not Counted")</f>
        <v>Counted</v>
      </c>
      <c r="M163" s="13" t="n">
        <f aca="false">IF(I163&gt;=Summary!$L$6,20,ROUND(I163/Summary!$L$6*10,1)*2)</f>
        <v>19.4</v>
      </c>
      <c r="N163" s="35" t="n">
        <f aca="false">20-M163</f>
        <v>0.600000000000001</v>
      </c>
      <c r="O163" s="8" t="str">
        <f aca="false">IF(I163&gt;=Summary!$L$6,"75%+ (all benefits)",IF(I163&gt;=Summary!$L$7,"55–74%",IF(I163&gt;=Summary!$L$8,"30–54%","Below 30%")))</f>
        <v>55–74%</v>
      </c>
    </row>
    <row r="164" customFormat="false" ht="15" hidden="false" customHeight="false" outlineLevel="0" collapsed="false">
      <c r="A164" s="8" t="n">
        <v>159</v>
      </c>
      <c r="B164" s="8" t="s">
        <v>22</v>
      </c>
      <c r="C164" s="8" t="s">
        <v>381</v>
      </c>
      <c r="D164" s="30" t="s">
        <v>382</v>
      </c>
      <c r="E164" s="9" t="n">
        <v>46300</v>
      </c>
      <c r="F164" s="8" t="n">
        <v>250</v>
      </c>
      <c r="G164" s="8" t="n">
        <v>116</v>
      </c>
      <c r="H164" s="8" t="n">
        <v>366</v>
      </c>
      <c r="I164" s="34" t="n">
        <f aca="false">ROUND(F164/H164*100,0)/100</f>
        <v>0.68</v>
      </c>
      <c r="J164" s="8" t="str">
        <f aca="false">IF(I164&gt;=Summary!$L$6,"Eligible","Shortage")</f>
        <v>Shortage</v>
      </c>
      <c r="K164" s="8" t="str">
        <f aca="false">IF(I164&lt;Summary!$L$8,"YES","No")</f>
        <v>No</v>
      </c>
      <c r="L164" s="8" t="str">
        <f aca="false">IF(I164&gt;=Summary!$L$7,"Counted","Not Counted")</f>
        <v>Counted</v>
      </c>
      <c r="M164" s="13" t="n">
        <f aca="false">IF(I164&gt;=Summary!$L$6,20,ROUND(I164/Summary!$L$6*10,1)*2)</f>
        <v>18.2</v>
      </c>
      <c r="N164" s="35" t="n">
        <f aca="false">20-M164</f>
        <v>1.8</v>
      </c>
      <c r="O164" s="8" t="str">
        <f aca="false">IF(I164&gt;=Summary!$L$6,"75%+ (all benefits)",IF(I164&gt;=Summary!$L$7,"55–74%",IF(I164&gt;=Summary!$L$8,"30–54%","Below 30%")))</f>
        <v>55–74%</v>
      </c>
    </row>
    <row r="165" customFormat="false" ht="15" hidden="false" customHeight="false" outlineLevel="0" collapsed="false">
      <c r="A165" s="36" t="n">
        <v>160</v>
      </c>
      <c r="B165" s="36" t="s">
        <v>22</v>
      </c>
      <c r="C165" s="36" t="s">
        <v>383</v>
      </c>
      <c r="D165" s="37" t="s">
        <v>384</v>
      </c>
      <c r="E165" s="38" t="n">
        <v>46300</v>
      </c>
      <c r="F165" s="36" t="n">
        <v>338</v>
      </c>
      <c r="G165" s="36" t="n">
        <v>28</v>
      </c>
      <c r="H165" s="36" t="n">
        <v>366</v>
      </c>
      <c r="I165" s="34" t="n">
        <f aca="false">ROUND(F165/H165*100,0)/100</f>
        <v>0.92</v>
      </c>
      <c r="J165" s="8" t="str">
        <f aca="false">IF(I165&gt;=Summary!$L$6,"Eligible","Shortage")</f>
        <v>Eligible</v>
      </c>
      <c r="K165" s="8" t="str">
        <f aca="false">IF(I165&lt;Summary!$L$8,"YES","No")</f>
        <v>No</v>
      </c>
      <c r="L165" s="8" t="str">
        <f aca="false">IF(I165&gt;=Summary!$L$7,"Counted","Not Counted")</f>
        <v>Counted</v>
      </c>
      <c r="M165" s="13" t="n">
        <f aca="false">IF(I165&gt;=Summary!$L$6,20,ROUND(I165/Summary!$L$6*10,1)*2)</f>
        <v>20</v>
      </c>
      <c r="N165" s="35" t="n">
        <f aca="false">20-M165</f>
        <v>0</v>
      </c>
      <c r="O165" s="8" t="str">
        <f aca="false">IF(I165&gt;=Summary!$L$6,"75%+ (all benefits)",IF(I165&gt;=Summary!$L$7,"55–74%",IF(I165&gt;=Summary!$L$8,"30–54%","Below 30%")))</f>
        <v>75%+ (all benefits)</v>
      </c>
    </row>
    <row r="166" customFormat="false" ht="15" hidden="false" customHeight="false" outlineLevel="0" collapsed="false">
      <c r="A166" s="8" t="n">
        <v>161</v>
      </c>
      <c r="B166" s="8" t="s">
        <v>22</v>
      </c>
      <c r="C166" s="8" t="s">
        <v>385</v>
      </c>
      <c r="D166" s="30" t="s">
        <v>386</v>
      </c>
      <c r="E166" s="9" t="n">
        <v>46300</v>
      </c>
      <c r="F166" s="8" t="n">
        <v>287</v>
      </c>
      <c r="G166" s="8" t="n">
        <v>79</v>
      </c>
      <c r="H166" s="8" t="n">
        <v>366</v>
      </c>
      <c r="I166" s="34" t="n">
        <f aca="false">ROUND(F166/H166*100,0)/100</f>
        <v>0.78</v>
      </c>
      <c r="J166" s="8" t="str">
        <f aca="false">IF(I166&gt;=Summary!$L$6,"Eligible","Shortage")</f>
        <v>Eligible</v>
      </c>
      <c r="K166" s="8" t="str">
        <f aca="false">IF(I166&lt;Summary!$L$8,"YES","No")</f>
        <v>No</v>
      </c>
      <c r="L166" s="8" t="str">
        <f aca="false">IF(I166&gt;=Summary!$L$7,"Counted","Not Counted")</f>
        <v>Counted</v>
      </c>
      <c r="M166" s="13" t="n">
        <f aca="false">IF(I166&gt;=Summary!$L$6,20,ROUND(I166/Summary!$L$6*10,1)*2)</f>
        <v>20</v>
      </c>
      <c r="N166" s="35" t="n">
        <f aca="false">20-M166</f>
        <v>0</v>
      </c>
      <c r="O166" s="8" t="str">
        <f aca="false">IF(I166&gt;=Summary!$L$6,"75%+ (all benefits)",IF(I166&gt;=Summary!$L$7,"55–74%",IF(I166&gt;=Summary!$L$8,"30–54%","Below 30%")))</f>
        <v>75%+ (all benefits)</v>
      </c>
    </row>
    <row r="167" customFormat="false" ht="15" hidden="false" customHeight="false" outlineLevel="0" collapsed="false">
      <c r="A167" s="36" t="n">
        <v>162</v>
      </c>
      <c r="B167" s="36" t="s">
        <v>22</v>
      </c>
      <c r="C167" s="36" t="s">
        <v>387</v>
      </c>
      <c r="D167" s="37" t="s">
        <v>388</v>
      </c>
      <c r="E167" s="38" t="n">
        <v>46300</v>
      </c>
      <c r="F167" s="36" t="n">
        <v>307</v>
      </c>
      <c r="G167" s="36" t="n">
        <v>59</v>
      </c>
      <c r="H167" s="36" t="n">
        <v>366</v>
      </c>
      <c r="I167" s="34" t="n">
        <f aca="false">ROUND(F167/H167*100,0)/100</f>
        <v>0.84</v>
      </c>
      <c r="J167" s="8" t="str">
        <f aca="false">IF(I167&gt;=Summary!$L$6,"Eligible","Shortage")</f>
        <v>Eligible</v>
      </c>
      <c r="K167" s="8" t="str">
        <f aca="false">IF(I167&lt;Summary!$L$8,"YES","No")</f>
        <v>No</v>
      </c>
      <c r="L167" s="8" t="str">
        <f aca="false">IF(I167&gt;=Summary!$L$7,"Counted","Not Counted")</f>
        <v>Counted</v>
      </c>
      <c r="M167" s="13" t="n">
        <f aca="false">IF(I167&gt;=Summary!$L$6,20,ROUND(I167/Summary!$L$6*10,1)*2)</f>
        <v>20</v>
      </c>
      <c r="N167" s="35" t="n">
        <f aca="false">20-M167</f>
        <v>0</v>
      </c>
      <c r="O167" s="8" t="str">
        <f aca="false">IF(I167&gt;=Summary!$L$6,"75%+ (all benefits)",IF(I167&gt;=Summary!$L$7,"55–74%",IF(I167&gt;=Summary!$L$8,"30–54%","Below 30%")))</f>
        <v>75%+ (all benefits)</v>
      </c>
    </row>
    <row r="168" customFormat="false" ht="15" hidden="false" customHeight="false" outlineLevel="0" collapsed="false">
      <c r="A168" s="8" t="n">
        <v>163</v>
      </c>
      <c r="B168" s="8" t="s">
        <v>22</v>
      </c>
      <c r="C168" s="8" t="s">
        <v>389</v>
      </c>
      <c r="D168" s="30" t="s">
        <v>390</v>
      </c>
      <c r="E168" s="9" t="n">
        <v>46300</v>
      </c>
      <c r="F168" s="8" t="n">
        <v>307</v>
      </c>
      <c r="G168" s="8" t="n">
        <v>59</v>
      </c>
      <c r="H168" s="8" t="n">
        <v>366</v>
      </c>
      <c r="I168" s="34" t="n">
        <f aca="false">ROUND(F168/H168*100,0)/100</f>
        <v>0.84</v>
      </c>
      <c r="J168" s="8" t="str">
        <f aca="false">IF(I168&gt;=Summary!$L$6,"Eligible","Shortage")</f>
        <v>Eligible</v>
      </c>
      <c r="K168" s="8" t="str">
        <f aca="false">IF(I168&lt;Summary!$L$8,"YES","No")</f>
        <v>No</v>
      </c>
      <c r="L168" s="8" t="str">
        <f aca="false">IF(I168&gt;=Summary!$L$7,"Counted","Not Counted")</f>
        <v>Counted</v>
      </c>
      <c r="M168" s="13" t="n">
        <f aca="false">IF(I168&gt;=Summary!$L$6,20,ROUND(I168/Summary!$L$6*10,1)*2)</f>
        <v>20</v>
      </c>
      <c r="N168" s="35" t="n">
        <f aca="false">20-M168</f>
        <v>0</v>
      </c>
      <c r="O168" s="8" t="str">
        <f aca="false">IF(I168&gt;=Summary!$L$6,"75%+ (all benefits)",IF(I168&gt;=Summary!$L$7,"55–74%",IF(I168&gt;=Summary!$L$8,"30–54%","Below 30%")))</f>
        <v>75%+ (all benefits)</v>
      </c>
    </row>
    <row r="169" customFormat="false" ht="15" hidden="false" customHeight="false" outlineLevel="0" collapsed="false">
      <c r="A169" s="36" t="n">
        <v>164</v>
      </c>
      <c r="B169" s="36" t="s">
        <v>22</v>
      </c>
      <c r="C169" s="36" t="s">
        <v>391</v>
      </c>
      <c r="D169" s="37" t="s">
        <v>392</v>
      </c>
      <c r="E169" s="38" t="n">
        <v>46300</v>
      </c>
      <c r="F169" s="36" t="n">
        <v>327</v>
      </c>
      <c r="G169" s="36" t="n">
        <v>39</v>
      </c>
      <c r="H169" s="36" t="n">
        <v>366</v>
      </c>
      <c r="I169" s="34" t="n">
        <f aca="false">ROUND(F169/H169*100,0)/100</f>
        <v>0.89</v>
      </c>
      <c r="J169" s="8" t="str">
        <f aca="false">IF(I169&gt;=Summary!$L$6,"Eligible","Shortage")</f>
        <v>Eligible</v>
      </c>
      <c r="K169" s="8" t="str">
        <f aca="false">IF(I169&lt;Summary!$L$8,"YES","No")</f>
        <v>No</v>
      </c>
      <c r="L169" s="8" t="str">
        <f aca="false">IF(I169&gt;=Summary!$L$7,"Counted","Not Counted")</f>
        <v>Counted</v>
      </c>
      <c r="M169" s="13" t="n">
        <f aca="false">IF(I169&gt;=Summary!$L$6,20,ROUND(I169/Summary!$L$6*10,1)*2)</f>
        <v>20</v>
      </c>
      <c r="N169" s="35" t="n">
        <f aca="false">20-M169</f>
        <v>0</v>
      </c>
      <c r="O169" s="8" t="str">
        <f aca="false">IF(I169&gt;=Summary!$L$6,"75%+ (all benefits)",IF(I169&gt;=Summary!$L$7,"55–74%",IF(I169&gt;=Summary!$L$8,"30–54%","Below 30%")))</f>
        <v>75%+ (all benefits)</v>
      </c>
    </row>
    <row r="170" customFormat="false" ht="15" hidden="false" customHeight="false" outlineLevel="0" collapsed="false">
      <c r="A170" s="8" t="n">
        <v>165</v>
      </c>
      <c r="B170" s="8" t="s">
        <v>22</v>
      </c>
      <c r="C170" s="8" t="s">
        <v>393</v>
      </c>
      <c r="D170" s="30" t="s">
        <v>394</v>
      </c>
      <c r="E170" s="9" t="n">
        <v>46300</v>
      </c>
      <c r="F170" s="8" t="n">
        <v>299</v>
      </c>
      <c r="G170" s="8" t="n">
        <v>67</v>
      </c>
      <c r="H170" s="8" t="n">
        <v>366</v>
      </c>
      <c r="I170" s="34" t="n">
        <f aca="false">ROUND(F170/H170*100,0)/100</f>
        <v>0.82</v>
      </c>
      <c r="J170" s="8" t="str">
        <f aca="false">IF(I170&gt;=Summary!$L$6,"Eligible","Shortage")</f>
        <v>Eligible</v>
      </c>
      <c r="K170" s="8" t="str">
        <f aca="false">IF(I170&lt;Summary!$L$8,"YES","No")</f>
        <v>No</v>
      </c>
      <c r="L170" s="8" t="str">
        <f aca="false">IF(I170&gt;=Summary!$L$7,"Counted","Not Counted")</f>
        <v>Counted</v>
      </c>
      <c r="M170" s="13" t="n">
        <f aca="false">IF(I170&gt;=Summary!$L$6,20,ROUND(I170/Summary!$L$6*10,1)*2)</f>
        <v>20</v>
      </c>
      <c r="N170" s="35" t="n">
        <f aca="false">20-M170</f>
        <v>0</v>
      </c>
      <c r="O170" s="8" t="str">
        <f aca="false">IF(I170&gt;=Summary!$L$6,"75%+ (all benefits)",IF(I170&gt;=Summary!$L$7,"55–74%",IF(I170&gt;=Summary!$L$8,"30–54%","Below 30%")))</f>
        <v>75%+ (all benefits)</v>
      </c>
    </row>
    <row r="171" customFormat="false" ht="15" hidden="false" customHeight="false" outlineLevel="0" collapsed="false">
      <c r="A171" s="36" t="n">
        <v>166</v>
      </c>
      <c r="B171" s="36" t="s">
        <v>22</v>
      </c>
      <c r="C171" s="36" t="s">
        <v>395</v>
      </c>
      <c r="D171" s="37" t="s">
        <v>396</v>
      </c>
      <c r="E171" s="38" t="n">
        <v>46300</v>
      </c>
      <c r="F171" s="36" t="n">
        <v>287</v>
      </c>
      <c r="G171" s="36" t="n">
        <v>79</v>
      </c>
      <c r="H171" s="36" t="n">
        <v>366</v>
      </c>
      <c r="I171" s="34" t="n">
        <f aca="false">ROUND(F171/H171*100,0)/100</f>
        <v>0.78</v>
      </c>
      <c r="J171" s="8" t="str">
        <f aca="false">IF(I171&gt;=Summary!$L$6,"Eligible","Shortage")</f>
        <v>Eligible</v>
      </c>
      <c r="K171" s="8" t="str">
        <f aca="false">IF(I171&lt;Summary!$L$8,"YES","No")</f>
        <v>No</v>
      </c>
      <c r="L171" s="8" t="str">
        <f aca="false">IF(I171&gt;=Summary!$L$7,"Counted","Not Counted")</f>
        <v>Counted</v>
      </c>
      <c r="M171" s="13" t="n">
        <f aca="false">IF(I171&gt;=Summary!$L$6,20,ROUND(I171/Summary!$L$6*10,1)*2)</f>
        <v>20</v>
      </c>
      <c r="N171" s="35" t="n">
        <f aca="false">20-M171</f>
        <v>0</v>
      </c>
      <c r="O171" s="8" t="str">
        <f aca="false">IF(I171&gt;=Summary!$L$6,"75%+ (all benefits)",IF(I171&gt;=Summary!$L$7,"55–74%",IF(I171&gt;=Summary!$L$8,"30–54%","Below 30%")))</f>
        <v>75%+ (all benefits)</v>
      </c>
    </row>
    <row r="172" customFormat="false" ht="15" hidden="false" customHeight="false" outlineLevel="0" collapsed="false">
      <c r="A172" s="8" t="n">
        <v>167</v>
      </c>
      <c r="B172" s="8" t="s">
        <v>22</v>
      </c>
      <c r="C172" s="8" t="s">
        <v>397</v>
      </c>
      <c r="D172" s="30" t="s">
        <v>398</v>
      </c>
      <c r="E172" s="9" t="n">
        <v>46300</v>
      </c>
      <c r="F172" s="8" t="n">
        <v>335</v>
      </c>
      <c r="G172" s="8" t="n">
        <v>31</v>
      </c>
      <c r="H172" s="8" t="n">
        <v>366</v>
      </c>
      <c r="I172" s="34" t="n">
        <f aca="false">ROUND(F172/H172*100,0)/100</f>
        <v>0.92</v>
      </c>
      <c r="J172" s="8" t="str">
        <f aca="false">IF(I172&gt;=Summary!$L$6,"Eligible","Shortage")</f>
        <v>Eligible</v>
      </c>
      <c r="K172" s="8" t="str">
        <f aca="false">IF(I172&lt;Summary!$L$8,"YES","No")</f>
        <v>No</v>
      </c>
      <c r="L172" s="8" t="str">
        <f aca="false">IF(I172&gt;=Summary!$L$7,"Counted","Not Counted")</f>
        <v>Counted</v>
      </c>
      <c r="M172" s="13" t="n">
        <f aca="false">IF(I172&gt;=Summary!$L$6,20,ROUND(I172/Summary!$L$6*10,1)*2)</f>
        <v>20</v>
      </c>
      <c r="N172" s="35" t="n">
        <f aca="false">20-M172</f>
        <v>0</v>
      </c>
      <c r="O172" s="8" t="str">
        <f aca="false">IF(I172&gt;=Summary!$L$6,"75%+ (all benefits)",IF(I172&gt;=Summary!$L$7,"55–74%",IF(I172&gt;=Summary!$L$8,"30–54%","Below 30%")))</f>
        <v>75%+ (all benefits)</v>
      </c>
    </row>
    <row r="173" customFormat="false" ht="15" hidden="false" customHeight="false" outlineLevel="0" collapsed="false">
      <c r="A173" s="36" t="n">
        <v>168</v>
      </c>
      <c r="B173" s="36" t="s">
        <v>22</v>
      </c>
      <c r="C173" s="36" t="s">
        <v>399</v>
      </c>
      <c r="D173" s="37" t="s">
        <v>400</v>
      </c>
      <c r="E173" s="38" t="n">
        <v>46300</v>
      </c>
      <c r="F173" s="36" t="n">
        <v>291</v>
      </c>
      <c r="G173" s="36" t="n">
        <v>75</v>
      </c>
      <c r="H173" s="36" t="n">
        <v>366</v>
      </c>
      <c r="I173" s="34" t="n">
        <f aca="false">ROUND(F173/H173*100,0)/100</f>
        <v>0.8</v>
      </c>
      <c r="J173" s="8" t="str">
        <f aca="false">IF(I173&gt;=Summary!$L$6,"Eligible","Shortage")</f>
        <v>Eligible</v>
      </c>
      <c r="K173" s="8" t="str">
        <f aca="false">IF(I173&lt;Summary!$L$8,"YES","No")</f>
        <v>No</v>
      </c>
      <c r="L173" s="8" t="str">
        <f aca="false">IF(I173&gt;=Summary!$L$7,"Counted","Not Counted")</f>
        <v>Counted</v>
      </c>
      <c r="M173" s="13" t="n">
        <f aca="false">IF(I173&gt;=Summary!$L$6,20,ROUND(I173/Summary!$L$6*10,1)*2)</f>
        <v>20</v>
      </c>
      <c r="N173" s="35" t="n">
        <f aca="false">20-M173</f>
        <v>0</v>
      </c>
      <c r="O173" s="8" t="str">
        <f aca="false">IF(I173&gt;=Summary!$L$6,"75%+ (all benefits)",IF(I173&gt;=Summary!$L$7,"55–74%",IF(I173&gt;=Summary!$L$8,"30–54%","Below 30%")))</f>
        <v>75%+ (all benefits)</v>
      </c>
    </row>
    <row r="174" customFormat="false" ht="15" hidden="false" customHeight="false" outlineLevel="0" collapsed="false">
      <c r="A174" s="8" t="n">
        <v>169</v>
      </c>
      <c r="B174" s="8" t="s">
        <v>22</v>
      </c>
      <c r="C174" s="8" t="s">
        <v>401</v>
      </c>
      <c r="D174" s="30" t="s">
        <v>402</v>
      </c>
      <c r="E174" s="9" t="n">
        <v>46300</v>
      </c>
      <c r="F174" s="8" t="n">
        <v>260</v>
      </c>
      <c r="G174" s="8" t="n">
        <v>106</v>
      </c>
      <c r="H174" s="8" t="n">
        <v>366</v>
      </c>
      <c r="I174" s="34" t="n">
        <f aca="false">ROUND(F174/H174*100,0)/100</f>
        <v>0.71</v>
      </c>
      <c r="J174" s="8" t="str">
        <f aca="false">IF(I174&gt;=Summary!$L$6,"Eligible","Shortage")</f>
        <v>Shortage</v>
      </c>
      <c r="K174" s="8" t="str">
        <f aca="false">IF(I174&lt;Summary!$L$8,"YES","No")</f>
        <v>No</v>
      </c>
      <c r="L174" s="8" t="str">
        <f aca="false">IF(I174&gt;=Summary!$L$7,"Counted","Not Counted")</f>
        <v>Counted</v>
      </c>
      <c r="M174" s="13" t="n">
        <f aca="false">IF(I174&gt;=Summary!$L$6,20,ROUND(I174/Summary!$L$6*10,1)*2)</f>
        <v>19</v>
      </c>
      <c r="N174" s="35" t="n">
        <f aca="false">20-M174</f>
        <v>1</v>
      </c>
      <c r="O174" s="8" t="str">
        <f aca="false">IF(I174&gt;=Summary!$L$6,"75%+ (all benefits)",IF(I174&gt;=Summary!$L$7,"55–74%",IF(I174&gt;=Summary!$L$8,"30–54%","Below 30%")))</f>
        <v>55–74%</v>
      </c>
    </row>
    <row r="175" customFormat="false" ht="15" hidden="false" customHeight="false" outlineLevel="0" collapsed="false">
      <c r="A175" s="36" t="n">
        <v>170</v>
      </c>
      <c r="B175" s="36" t="s">
        <v>22</v>
      </c>
      <c r="C175" s="36" t="s">
        <v>403</v>
      </c>
      <c r="D175" s="37" t="s">
        <v>404</v>
      </c>
      <c r="E175" s="38" t="n">
        <v>46300</v>
      </c>
      <c r="F175" s="36" t="n">
        <v>307</v>
      </c>
      <c r="G175" s="36" t="n">
        <v>74</v>
      </c>
      <c r="H175" s="36" t="n">
        <v>381</v>
      </c>
      <c r="I175" s="34" t="n">
        <f aca="false">ROUND(F175/H175*100,0)/100</f>
        <v>0.81</v>
      </c>
      <c r="J175" s="8" t="str">
        <f aca="false">IF(I175&gt;=Summary!$L$6,"Eligible","Shortage")</f>
        <v>Eligible</v>
      </c>
      <c r="K175" s="8" t="str">
        <f aca="false">IF(I175&lt;Summary!$L$8,"YES","No")</f>
        <v>No</v>
      </c>
      <c r="L175" s="8" t="str">
        <f aca="false">IF(I175&gt;=Summary!$L$7,"Counted","Not Counted")</f>
        <v>Counted</v>
      </c>
      <c r="M175" s="13" t="n">
        <f aca="false">IF(I175&gt;=Summary!$L$6,20,ROUND(I175/Summary!$L$6*10,1)*2)</f>
        <v>20</v>
      </c>
      <c r="N175" s="35" t="n">
        <f aca="false">20-M175</f>
        <v>0</v>
      </c>
      <c r="O175" s="8" t="str">
        <f aca="false">IF(I175&gt;=Summary!$L$6,"75%+ (all benefits)",IF(I175&gt;=Summary!$L$7,"55–74%",IF(I175&gt;=Summary!$L$8,"30–54%","Below 30%")))</f>
        <v>75%+ (all benefits)</v>
      </c>
    </row>
    <row r="176" customFormat="false" ht="15" hidden="false" customHeight="false" outlineLevel="0" collapsed="false">
      <c r="A176" s="8" t="n">
        <v>171</v>
      </c>
      <c r="B176" s="8" t="s">
        <v>22</v>
      </c>
      <c r="C176" s="8" t="s">
        <v>405</v>
      </c>
      <c r="D176" s="30" t="s">
        <v>406</v>
      </c>
      <c r="E176" s="9" t="n">
        <v>46300</v>
      </c>
      <c r="F176" s="8" t="n">
        <v>267</v>
      </c>
      <c r="G176" s="8" t="n">
        <v>99</v>
      </c>
      <c r="H176" s="8" t="n">
        <v>366</v>
      </c>
      <c r="I176" s="34" t="n">
        <f aca="false">ROUND(F176/H176*100,0)/100</f>
        <v>0.73</v>
      </c>
      <c r="J176" s="8" t="str">
        <f aca="false">IF(I176&gt;=Summary!$L$6,"Eligible","Shortage")</f>
        <v>Shortage</v>
      </c>
      <c r="K176" s="8" t="str">
        <f aca="false">IF(I176&lt;Summary!$L$8,"YES","No")</f>
        <v>No</v>
      </c>
      <c r="L176" s="8" t="str">
        <f aca="false">IF(I176&gt;=Summary!$L$7,"Counted","Not Counted")</f>
        <v>Counted</v>
      </c>
      <c r="M176" s="13" t="n">
        <f aca="false">IF(I176&gt;=Summary!$L$6,20,ROUND(I176/Summary!$L$6*10,1)*2)</f>
        <v>19.4</v>
      </c>
      <c r="N176" s="35" t="n">
        <f aca="false">20-M176</f>
        <v>0.600000000000001</v>
      </c>
      <c r="O176" s="8" t="str">
        <f aca="false">IF(I176&gt;=Summary!$L$6,"75%+ (all benefits)",IF(I176&gt;=Summary!$L$7,"55–74%",IF(I176&gt;=Summary!$L$8,"30–54%","Below 30%")))</f>
        <v>55–74%</v>
      </c>
    </row>
    <row r="177" customFormat="false" ht="15" hidden="false" customHeight="false" outlineLevel="0" collapsed="false">
      <c r="A177" s="36" t="n">
        <v>172</v>
      </c>
      <c r="B177" s="36" t="s">
        <v>22</v>
      </c>
      <c r="C177" s="36" t="s">
        <v>407</v>
      </c>
      <c r="D177" s="37" t="s">
        <v>408</v>
      </c>
      <c r="E177" s="38" t="n">
        <v>46300</v>
      </c>
      <c r="F177" s="36" t="n">
        <v>285</v>
      </c>
      <c r="G177" s="36" t="n">
        <v>81</v>
      </c>
      <c r="H177" s="36" t="n">
        <v>366</v>
      </c>
      <c r="I177" s="34" t="n">
        <f aca="false">ROUND(F177/H177*100,0)/100</f>
        <v>0.78</v>
      </c>
      <c r="J177" s="8" t="str">
        <f aca="false">IF(I177&gt;=Summary!$L$6,"Eligible","Shortage")</f>
        <v>Eligible</v>
      </c>
      <c r="K177" s="8" t="str">
        <f aca="false">IF(I177&lt;Summary!$L$8,"YES","No")</f>
        <v>No</v>
      </c>
      <c r="L177" s="8" t="str">
        <f aca="false">IF(I177&gt;=Summary!$L$7,"Counted","Not Counted")</f>
        <v>Counted</v>
      </c>
      <c r="M177" s="13" t="n">
        <f aca="false">IF(I177&gt;=Summary!$L$6,20,ROUND(I177/Summary!$L$6*10,1)*2)</f>
        <v>20</v>
      </c>
      <c r="N177" s="35" t="n">
        <f aca="false">20-M177</f>
        <v>0</v>
      </c>
      <c r="O177" s="8" t="str">
        <f aca="false">IF(I177&gt;=Summary!$L$6,"75%+ (all benefits)",IF(I177&gt;=Summary!$L$7,"55–74%",IF(I177&gt;=Summary!$L$8,"30–54%","Below 30%")))</f>
        <v>75%+ (all benefits)</v>
      </c>
    </row>
    <row r="178" customFormat="false" ht="15" hidden="false" customHeight="false" outlineLevel="0" collapsed="false">
      <c r="A178" s="8" t="n">
        <v>173</v>
      </c>
      <c r="B178" s="8" t="s">
        <v>22</v>
      </c>
      <c r="C178" s="8" t="s">
        <v>409</v>
      </c>
      <c r="D178" s="30" t="s">
        <v>410</v>
      </c>
      <c r="E178" s="9" t="n">
        <v>46300</v>
      </c>
      <c r="F178" s="8" t="n">
        <v>271</v>
      </c>
      <c r="G178" s="8" t="n">
        <v>95</v>
      </c>
      <c r="H178" s="8" t="n">
        <v>366</v>
      </c>
      <c r="I178" s="34" t="n">
        <f aca="false">ROUND(F178/H178*100,0)/100</f>
        <v>0.74</v>
      </c>
      <c r="J178" s="8" t="str">
        <f aca="false">IF(I178&gt;=Summary!$L$6,"Eligible","Shortage")</f>
        <v>Shortage</v>
      </c>
      <c r="K178" s="8" t="str">
        <f aca="false">IF(I178&lt;Summary!$L$8,"YES","No")</f>
        <v>No</v>
      </c>
      <c r="L178" s="8" t="str">
        <f aca="false">IF(I178&gt;=Summary!$L$7,"Counted","Not Counted")</f>
        <v>Counted</v>
      </c>
      <c r="M178" s="13" t="n">
        <f aca="false">IF(I178&gt;=Summary!$L$6,20,ROUND(I178/Summary!$L$6*10,1)*2)</f>
        <v>19.8</v>
      </c>
      <c r="N178" s="35" t="n">
        <f aca="false">20-M178</f>
        <v>0.199999999999999</v>
      </c>
      <c r="O178" s="8" t="str">
        <f aca="false">IF(I178&gt;=Summary!$L$6,"75%+ (all benefits)",IF(I178&gt;=Summary!$L$7,"55–74%",IF(I178&gt;=Summary!$L$8,"30–54%","Below 30%")))</f>
        <v>55–74%</v>
      </c>
    </row>
    <row r="179" customFormat="false" ht="15" hidden="false" customHeight="false" outlineLevel="0" collapsed="false">
      <c r="A179" s="36" t="n">
        <v>174</v>
      </c>
      <c r="B179" s="36" t="s">
        <v>22</v>
      </c>
      <c r="C179" s="36" t="s">
        <v>411</v>
      </c>
      <c r="D179" s="37" t="s">
        <v>412</v>
      </c>
      <c r="E179" s="38" t="n">
        <v>46300</v>
      </c>
      <c r="F179" s="36" t="n">
        <v>275</v>
      </c>
      <c r="G179" s="36" t="n">
        <v>91</v>
      </c>
      <c r="H179" s="36" t="n">
        <v>366</v>
      </c>
      <c r="I179" s="34" t="n">
        <f aca="false">ROUND(F179/H179*100,0)/100</f>
        <v>0.75</v>
      </c>
      <c r="J179" s="8" t="str">
        <f aca="false">IF(I179&gt;=Summary!$L$6,"Eligible","Shortage")</f>
        <v>Eligible</v>
      </c>
      <c r="K179" s="8" t="str">
        <f aca="false">IF(I179&lt;Summary!$L$8,"YES","No")</f>
        <v>No</v>
      </c>
      <c r="L179" s="8" t="str">
        <f aca="false">IF(I179&gt;=Summary!$L$7,"Counted","Not Counted")</f>
        <v>Counted</v>
      </c>
      <c r="M179" s="13" t="n">
        <f aca="false">IF(I179&gt;=Summary!$L$6,20,ROUND(I179/Summary!$L$6*10,1)*2)</f>
        <v>20</v>
      </c>
      <c r="N179" s="35" t="n">
        <f aca="false">20-M179</f>
        <v>0</v>
      </c>
      <c r="O179" s="8" t="str">
        <f aca="false">IF(I179&gt;=Summary!$L$6,"75%+ (all benefits)",IF(I179&gt;=Summary!$L$7,"55–74%",IF(I179&gt;=Summary!$L$8,"30–54%","Below 30%")))</f>
        <v>75%+ (all benefits)</v>
      </c>
    </row>
    <row r="180" customFormat="false" ht="15" hidden="false" customHeight="false" outlineLevel="0" collapsed="false">
      <c r="A180" s="8" t="n">
        <v>175</v>
      </c>
      <c r="B180" s="8" t="s">
        <v>22</v>
      </c>
      <c r="C180" s="8" t="s">
        <v>413</v>
      </c>
      <c r="D180" s="30" t="s">
        <v>414</v>
      </c>
      <c r="E180" s="9" t="n">
        <v>46300</v>
      </c>
      <c r="F180" s="8" t="n">
        <v>301</v>
      </c>
      <c r="G180" s="8" t="n">
        <v>65</v>
      </c>
      <c r="H180" s="8" t="n">
        <v>366</v>
      </c>
      <c r="I180" s="34" t="n">
        <f aca="false">ROUND(F180/H180*100,0)/100</f>
        <v>0.82</v>
      </c>
      <c r="J180" s="8" t="str">
        <f aca="false">IF(I180&gt;=Summary!$L$6,"Eligible","Shortage")</f>
        <v>Eligible</v>
      </c>
      <c r="K180" s="8" t="str">
        <f aca="false">IF(I180&lt;Summary!$L$8,"YES","No")</f>
        <v>No</v>
      </c>
      <c r="L180" s="8" t="str">
        <f aca="false">IF(I180&gt;=Summary!$L$7,"Counted","Not Counted")</f>
        <v>Counted</v>
      </c>
      <c r="M180" s="13" t="n">
        <f aca="false">IF(I180&gt;=Summary!$L$6,20,ROUND(I180/Summary!$L$6*10,1)*2)</f>
        <v>20</v>
      </c>
      <c r="N180" s="35" t="n">
        <f aca="false">20-M180</f>
        <v>0</v>
      </c>
      <c r="O180" s="8" t="str">
        <f aca="false">IF(I180&gt;=Summary!$L$6,"75%+ (all benefits)",IF(I180&gt;=Summary!$L$7,"55–74%",IF(I180&gt;=Summary!$L$8,"30–54%","Below 30%")))</f>
        <v>75%+ (all benefits)</v>
      </c>
    </row>
    <row r="181" customFormat="false" ht="15" hidden="false" customHeight="false" outlineLevel="0" collapsed="false">
      <c r="A181" s="36" t="n">
        <v>176</v>
      </c>
      <c r="B181" s="36" t="s">
        <v>22</v>
      </c>
      <c r="C181" s="36" t="s">
        <v>415</v>
      </c>
      <c r="D181" s="37" t="s">
        <v>416</v>
      </c>
      <c r="E181" s="38" t="n">
        <v>46300</v>
      </c>
      <c r="F181" s="36" t="n">
        <v>232</v>
      </c>
      <c r="G181" s="36" t="n">
        <v>134</v>
      </c>
      <c r="H181" s="36" t="n">
        <v>366</v>
      </c>
      <c r="I181" s="34" t="n">
        <f aca="false">ROUND(F181/H181*100,0)/100</f>
        <v>0.63</v>
      </c>
      <c r="J181" s="8" t="str">
        <f aca="false">IF(I181&gt;=Summary!$L$6,"Eligible","Shortage")</f>
        <v>Shortage</v>
      </c>
      <c r="K181" s="8" t="str">
        <f aca="false">IF(I181&lt;Summary!$L$8,"YES","No")</f>
        <v>No</v>
      </c>
      <c r="L181" s="8" t="str">
        <f aca="false">IF(I181&gt;=Summary!$L$7,"Counted","Not Counted")</f>
        <v>Counted</v>
      </c>
      <c r="M181" s="13" t="n">
        <f aca="false">IF(I181&gt;=Summary!$L$6,20,ROUND(I181/Summary!$L$6*10,1)*2)</f>
        <v>16.8</v>
      </c>
      <c r="N181" s="35" t="n">
        <f aca="false">20-M181</f>
        <v>3.2</v>
      </c>
      <c r="O181" s="8" t="str">
        <f aca="false">IF(I181&gt;=Summary!$L$6,"75%+ (all benefits)",IF(I181&gt;=Summary!$L$7,"55–74%",IF(I181&gt;=Summary!$L$8,"30–54%","Below 30%")))</f>
        <v>55–74%</v>
      </c>
    </row>
    <row r="182" customFormat="false" ht="15" hidden="false" customHeight="false" outlineLevel="0" collapsed="false">
      <c r="A182" s="8" t="n">
        <v>177</v>
      </c>
      <c r="B182" s="8" t="s">
        <v>22</v>
      </c>
      <c r="C182" s="8" t="s">
        <v>417</v>
      </c>
      <c r="D182" s="30" t="s">
        <v>418</v>
      </c>
      <c r="E182" s="9" t="n">
        <v>46300</v>
      </c>
      <c r="F182" s="8" t="n">
        <v>292</v>
      </c>
      <c r="G182" s="8" t="n">
        <v>74</v>
      </c>
      <c r="H182" s="8" t="n">
        <v>366</v>
      </c>
      <c r="I182" s="34" t="n">
        <f aca="false">ROUND(F182/H182*100,0)/100</f>
        <v>0.8</v>
      </c>
      <c r="J182" s="8" t="str">
        <f aca="false">IF(I182&gt;=Summary!$L$6,"Eligible","Shortage")</f>
        <v>Eligible</v>
      </c>
      <c r="K182" s="8" t="str">
        <f aca="false">IF(I182&lt;Summary!$L$8,"YES","No")</f>
        <v>No</v>
      </c>
      <c r="L182" s="8" t="str">
        <f aca="false">IF(I182&gt;=Summary!$L$7,"Counted","Not Counted")</f>
        <v>Counted</v>
      </c>
      <c r="M182" s="13" t="n">
        <f aca="false">IF(I182&gt;=Summary!$L$6,20,ROUND(I182/Summary!$L$6*10,1)*2)</f>
        <v>20</v>
      </c>
      <c r="N182" s="35" t="n">
        <f aca="false">20-M182</f>
        <v>0</v>
      </c>
      <c r="O182" s="8" t="str">
        <f aca="false">IF(I182&gt;=Summary!$L$6,"75%+ (all benefits)",IF(I182&gt;=Summary!$L$7,"55–74%",IF(I182&gt;=Summary!$L$8,"30–54%","Below 30%")))</f>
        <v>75%+ (all benefits)</v>
      </c>
    </row>
    <row r="183" customFormat="false" ht="15" hidden="false" customHeight="false" outlineLevel="0" collapsed="false">
      <c r="A183" s="36" t="n">
        <v>178</v>
      </c>
      <c r="B183" s="36" t="s">
        <v>22</v>
      </c>
      <c r="C183" s="36" t="s">
        <v>419</v>
      </c>
      <c r="D183" s="37" t="s">
        <v>420</v>
      </c>
      <c r="E183" s="38" t="n">
        <v>46300</v>
      </c>
      <c r="F183" s="36" t="n">
        <v>285</v>
      </c>
      <c r="G183" s="36" t="n">
        <v>81</v>
      </c>
      <c r="H183" s="36" t="n">
        <v>366</v>
      </c>
      <c r="I183" s="34" t="n">
        <f aca="false">ROUND(F183/H183*100,0)/100</f>
        <v>0.78</v>
      </c>
      <c r="J183" s="8" t="str">
        <f aca="false">IF(I183&gt;=Summary!$L$6,"Eligible","Shortage")</f>
        <v>Eligible</v>
      </c>
      <c r="K183" s="8" t="str">
        <f aca="false">IF(I183&lt;Summary!$L$8,"YES","No")</f>
        <v>No</v>
      </c>
      <c r="L183" s="8" t="str">
        <f aca="false">IF(I183&gt;=Summary!$L$7,"Counted","Not Counted")</f>
        <v>Counted</v>
      </c>
      <c r="M183" s="13" t="n">
        <f aca="false">IF(I183&gt;=Summary!$L$6,20,ROUND(I183/Summary!$L$6*10,1)*2)</f>
        <v>20</v>
      </c>
      <c r="N183" s="35" t="n">
        <f aca="false">20-M183</f>
        <v>0</v>
      </c>
      <c r="O183" s="8" t="str">
        <f aca="false">IF(I183&gt;=Summary!$L$6,"75%+ (all benefits)",IF(I183&gt;=Summary!$L$7,"55–74%",IF(I183&gt;=Summary!$L$8,"30–54%","Below 30%")))</f>
        <v>75%+ (all benefits)</v>
      </c>
    </row>
    <row r="184" customFormat="false" ht="15" hidden="false" customHeight="false" outlineLevel="0" collapsed="false">
      <c r="A184" s="8" t="n">
        <v>179</v>
      </c>
      <c r="B184" s="8" t="s">
        <v>22</v>
      </c>
      <c r="C184" s="8" t="s">
        <v>421</v>
      </c>
      <c r="D184" s="30" t="s">
        <v>422</v>
      </c>
      <c r="E184" s="9" t="n">
        <v>46300</v>
      </c>
      <c r="F184" s="8" t="n">
        <v>314</v>
      </c>
      <c r="G184" s="8" t="n">
        <v>52</v>
      </c>
      <c r="H184" s="8" t="n">
        <v>366</v>
      </c>
      <c r="I184" s="34" t="n">
        <f aca="false">ROUND(F184/H184*100,0)/100</f>
        <v>0.86</v>
      </c>
      <c r="J184" s="8" t="str">
        <f aca="false">IF(I184&gt;=Summary!$L$6,"Eligible","Shortage")</f>
        <v>Eligible</v>
      </c>
      <c r="K184" s="8" t="str">
        <f aca="false">IF(I184&lt;Summary!$L$8,"YES","No")</f>
        <v>No</v>
      </c>
      <c r="L184" s="8" t="str">
        <f aca="false">IF(I184&gt;=Summary!$L$7,"Counted","Not Counted")</f>
        <v>Counted</v>
      </c>
      <c r="M184" s="13" t="n">
        <f aca="false">IF(I184&gt;=Summary!$L$6,20,ROUND(I184/Summary!$L$6*10,1)*2)</f>
        <v>20</v>
      </c>
      <c r="N184" s="35" t="n">
        <f aca="false">20-M184</f>
        <v>0</v>
      </c>
      <c r="O184" s="8" t="str">
        <f aca="false">IF(I184&gt;=Summary!$L$6,"75%+ (all benefits)",IF(I184&gt;=Summary!$L$7,"55–74%",IF(I184&gt;=Summary!$L$8,"30–54%","Below 30%")))</f>
        <v>75%+ (all benefits)</v>
      </c>
    </row>
    <row r="185" customFormat="false" ht="15" hidden="false" customHeight="false" outlineLevel="0" collapsed="false">
      <c r="A185" s="36" t="n">
        <v>180</v>
      </c>
      <c r="B185" s="36" t="s">
        <v>22</v>
      </c>
      <c r="C185" s="36" t="s">
        <v>423</v>
      </c>
      <c r="D185" s="37" t="s">
        <v>424</v>
      </c>
      <c r="E185" s="38" t="n">
        <v>46300</v>
      </c>
      <c r="F185" s="36" t="n">
        <v>191</v>
      </c>
      <c r="G185" s="36" t="n">
        <v>175</v>
      </c>
      <c r="H185" s="36" t="n">
        <v>366</v>
      </c>
      <c r="I185" s="34" t="n">
        <f aca="false">ROUND(F185/H185*100,0)/100</f>
        <v>0.52</v>
      </c>
      <c r="J185" s="8" t="str">
        <f aca="false">IF(I185&gt;=Summary!$L$6,"Eligible","Shortage")</f>
        <v>Shortage</v>
      </c>
      <c r="K185" s="8" t="str">
        <f aca="false">IF(I185&lt;Summary!$L$8,"YES","No")</f>
        <v>No</v>
      </c>
      <c r="L185" s="8" t="str">
        <f aca="false">IF(I185&gt;=Summary!$L$7,"Counted","Not Counted")</f>
        <v>Not Counted</v>
      </c>
      <c r="M185" s="13" t="n">
        <f aca="false">IF(I185&gt;=Summary!$L$6,20,ROUND(I185/Summary!$L$6*10,1)*2)</f>
        <v>13.8</v>
      </c>
      <c r="N185" s="35" t="n">
        <f aca="false">20-M185</f>
        <v>6.2</v>
      </c>
      <c r="O185" s="8" t="str">
        <f aca="false">IF(I185&gt;=Summary!$L$6,"75%+ (all benefits)",IF(I185&gt;=Summary!$L$7,"55–74%",IF(I185&gt;=Summary!$L$8,"30–54%","Below 30%")))</f>
        <v>30–54%</v>
      </c>
    </row>
    <row r="186" customFormat="false" ht="15" hidden="false" customHeight="false" outlineLevel="0" collapsed="false">
      <c r="A186" s="8" t="n">
        <v>181</v>
      </c>
      <c r="B186" s="8" t="s">
        <v>22</v>
      </c>
      <c r="C186" s="8" t="s">
        <v>425</v>
      </c>
      <c r="D186" s="30" t="s">
        <v>426</v>
      </c>
      <c r="E186" s="9" t="n">
        <v>46300</v>
      </c>
      <c r="F186" s="8" t="n">
        <v>263</v>
      </c>
      <c r="G186" s="8" t="n">
        <v>103</v>
      </c>
      <c r="H186" s="8" t="n">
        <v>366</v>
      </c>
      <c r="I186" s="34" t="n">
        <f aca="false">ROUND(F186/H186*100,0)/100</f>
        <v>0.72</v>
      </c>
      <c r="J186" s="8" t="str">
        <f aca="false">IF(I186&gt;=Summary!$L$6,"Eligible","Shortage")</f>
        <v>Shortage</v>
      </c>
      <c r="K186" s="8" t="str">
        <f aca="false">IF(I186&lt;Summary!$L$8,"YES","No")</f>
        <v>No</v>
      </c>
      <c r="L186" s="8" t="str">
        <f aca="false">IF(I186&gt;=Summary!$L$7,"Counted","Not Counted")</f>
        <v>Counted</v>
      </c>
      <c r="M186" s="13" t="n">
        <f aca="false">IF(I186&gt;=Summary!$L$6,20,ROUND(I186/Summary!$L$6*10,1)*2)</f>
        <v>19.2</v>
      </c>
      <c r="N186" s="35" t="n">
        <f aca="false">20-M186</f>
        <v>0.800000000000001</v>
      </c>
      <c r="O186" s="8" t="str">
        <f aca="false">IF(I186&gt;=Summary!$L$6,"75%+ (all benefits)",IF(I186&gt;=Summary!$L$7,"55–74%",IF(I186&gt;=Summary!$L$8,"30–54%","Below 30%")))</f>
        <v>55–74%</v>
      </c>
    </row>
    <row r="187" customFormat="false" ht="15" hidden="false" customHeight="false" outlineLevel="0" collapsed="false">
      <c r="A187" s="36" t="n">
        <v>182</v>
      </c>
      <c r="B187" s="36" t="s">
        <v>22</v>
      </c>
      <c r="C187" s="36" t="s">
        <v>427</v>
      </c>
      <c r="D187" s="37" t="s">
        <v>428</v>
      </c>
      <c r="E187" s="38" t="n">
        <v>46300</v>
      </c>
      <c r="F187" s="36" t="n">
        <v>307</v>
      </c>
      <c r="G187" s="36" t="n">
        <v>59</v>
      </c>
      <c r="H187" s="36" t="n">
        <v>366</v>
      </c>
      <c r="I187" s="34" t="n">
        <f aca="false">ROUND(F187/H187*100,0)/100</f>
        <v>0.84</v>
      </c>
      <c r="J187" s="8" t="str">
        <f aca="false">IF(I187&gt;=Summary!$L$6,"Eligible","Shortage")</f>
        <v>Eligible</v>
      </c>
      <c r="K187" s="8" t="str">
        <f aca="false">IF(I187&lt;Summary!$L$8,"YES","No")</f>
        <v>No</v>
      </c>
      <c r="L187" s="8" t="str">
        <f aca="false">IF(I187&gt;=Summary!$L$7,"Counted","Not Counted")</f>
        <v>Counted</v>
      </c>
      <c r="M187" s="13" t="n">
        <f aca="false">IF(I187&gt;=Summary!$L$6,20,ROUND(I187/Summary!$L$6*10,1)*2)</f>
        <v>20</v>
      </c>
      <c r="N187" s="35" t="n">
        <f aca="false">20-M187</f>
        <v>0</v>
      </c>
      <c r="O187" s="8" t="str">
        <f aca="false">IF(I187&gt;=Summary!$L$6,"75%+ (all benefits)",IF(I187&gt;=Summary!$L$7,"55–74%",IF(I187&gt;=Summary!$L$8,"30–54%","Below 30%")))</f>
        <v>75%+ (all benefits)</v>
      </c>
    </row>
    <row r="188" customFormat="false" ht="15" hidden="false" customHeight="false" outlineLevel="0" collapsed="false">
      <c r="A188" s="8" t="n">
        <v>183</v>
      </c>
      <c r="B188" s="8" t="s">
        <v>22</v>
      </c>
      <c r="C188" s="8" t="s">
        <v>429</v>
      </c>
      <c r="D188" s="30" t="s">
        <v>430</v>
      </c>
      <c r="E188" s="9" t="n">
        <v>46300</v>
      </c>
      <c r="F188" s="8" t="n">
        <v>250</v>
      </c>
      <c r="G188" s="8" t="n">
        <v>116</v>
      </c>
      <c r="H188" s="8" t="n">
        <v>366</v>
      </c>
      <c r="I188" s="34" t="n">
        <f aca="false">ROUND(F188/H188*100,0)/100</f>
        <v>0.68</v>
      </c>
      <c r="J188" s="8" t="str">
        <f aca="false">IF(I188&gt;=Summary!$L$6,"Eligible","Shortage")</f>
        <v>Shortage</v>
      </c>
      <c r="K188" s="8" t="str">
        <f aca="false">IF(I188&lt;Summary!$L$8,"YES","No")</f>
        <v>No</v>
      </c>
      <c r="L188" s="8" t="str">
        <f aca="false">IF(I188&gt;=Summary!$L$7,"Counted","Not Counted")</f>
        <v>Counted</v>
      </c>
      <c r="M188" s="13" t="n">
        <f aca="false">IF(I188&gt;=Summary!$L$6,20,ROUND(I188/Summary!$L$6*10,1)*2)</f>
        <v>18.2</v>
      </c>
      <c r="N188" s="35" t="n">
        <f aca="false">20-M188</f>
        <v>1.8</v>
      </c>
      <c r="O188" s="8" t="str">
        <f aca="false">IF(I188&gt;=Summary!$L$6,"75%+ (all benefits)",IF(I188&gt;=Summary!$L$7,"55–74%",IF(I188&gt;=Summary!$L$8,"30–54%","Below 30%")))</f>
        <v>55–74%</v>
      </c>
    </row>
    <row r="189" customFormat="false" ht="15" hidden="false" customHeight="false" outlineLevel="0" collapsed="false">
      <c r="A189" s="36" t="n">
        <v>184</v>
      </c>
      <c r="B189" s="36" t="s">
        <v>22</v>
      </c>
      <c r="C189" s="36" t="s">
        <v>431</v>
      </c>
      <c r="D189" s="37" t="s">
        <v>432</v>
      </c>
      <c r="E189" s="38" t="n">
        <v>46300</v>
      </c>
      <c r="F189" s="36" t="n">
        <v>254</v>
      </c>
      <c r="G189" s="36" t="n">
        <v>112</v>
      </c>
      <c r="H189" s="36" t="n">
        <v>366</v>
      </c>
      <c r="I189" s="34" t="n">
        <f aca="false">ROUND(F189/H189*100,0)/100</f>
        <v>0.69</v>
      </c>
      <c r="J189" s="8" t="str">
        <f aca="false">IF(I189&gt;=Summary!$L$6,"Eligible","Shortage")</f>
        <v>Shortage</v>
      </c>
      <c r="K189" s="8" t="str">
        <f aca="false">IF(I189&lt;Summary!$L$8,"YES","No")</f>
        <v>No</v>
      </c>
      <c r="L189" s="8" t="str">
        <f aca="false">IF(I189&gt;=Summary!$L$7,"Counted","Not Counted")</f>
        <v>Counted</v>
      </c>
      <c r="M189" s="13" t="n">
        <f aca="false">IF(I189&gt;=Summary!$L$6,20,ROUND(I189/Summary!$L$6*10,1)*2)</f>
        <v>18.4</v>
      </c>
      <c r="N189" s="35" t="n">
        <f aca="false">20-M189</f>
        <v>1.6</v>
      </c>
      <c r="O189" s="8" t="str">
        <f aca="false">IF(I189&gt;=Summary!$L$6,"75%+ (all benefits)",IF(I189&gt;=Summary!$L$7,"55–74%",IF(I189&gt;=Summary!$L$8,"30–54%","Below 30%")))</f>
        <v>55–74%</v>
      </c>
    </row>
    <row r="190" customFormat="false" ht="15" hidden="false" customHeight="false" outlineLevel="0" collapsed="false">
      <c r="A190" s="8" t="n">
        <v>185</v>
      </c>
      <c r="B190" s="8" t="s">
        <v>22</v>
      </c>
      <c r="C190" s="8" t="s">
        <v>433</v>
      </c>
      <c r="D190" s="30" t="s">
        <v>434</v>
      </c>
      <c r="E190" s="9" t="n">
        <v>46300</v>
      </c>
      <c r="F190" s="8" t="n">
        <v>311</v>
      </c>
      <c r="G190" s="8" t="n">
        <v>55</v>
      </c>
      <c r="H190" s="8" t="n">
        <v>366</v>
      </c>
      <c r="I190" s="34" t="n">
        <f aca="false">ROUND(F190/H190*100,0)/100</f>
        <v>0.85</v>
      </c>
      <c r="J190" s="8" t="str">
        <f aca="false">IF(I190&gt;=Summary!$L$6,"Eligible","Shortage")</f>
        <v>Eligible</v>
      </c>
      <c r="K190" s="8" t="str">
        <f aca="false">IF(I190&lt;Summary!$L$8,"YES","No")</f>
        <v>No</v>
      </c>
      <c r="L190" s="8" t="str">
        <f aca="false">IF(I190&gt;=Summary!$L$7,"Counted","Not Counted")</f>
        <v>Counted</v>
      </c>
      <c r="M190" s="13" t="n">
        <f aca="false">IF(I190&gt;=Summary!$L$6,20,ROUND(I190/Summary!$L$6*10,1)*2)</f>
        <v>20</v>
      </c>
      <c r="N190" s="35" t="n">
        <f aca="false">20-M190</f>
        <v>0</v>
      </c>
      <c r="O190" s="8" t="str">
        <f aca="false">IF(I190&gt;=Summary!$L$6,"75%+ (all benefits)",IF(I190&gt;=Summary!$L$7,"55–74%",IF(I190&gt;=Summary!$L$8,"30–54%","Below 30%")))</f>
        <v>75%+ (all benefits)</v>
      </c>
    </row>
    <row r="191" customFormat="false" ht="15" hidden="false" customHeight="false" outlineLevel="0" collapsed="false">
      <c r="A191" s="36" t="n">
        <v>186</v>
      </c>
      <c r="B191" s="36" t="s">
        <v>22</v>
      </c>
      <c r="C191" s="36" t="s">
        <v>435</v>
      </c>
      <c r="D191" s="37" t="s">
        <v>436</v>
      </c>
      <c r="E191" s="38" t="n">
        <v>46300</v>
      </c>
      <c r="F191" s="36" t="n">
        <v>303</v>
      </c>
      <c r="G191" s="36" t="n">
        <v>63</v>
      </c>
      <c r="H191" s="36" t="n">
        <v>366</v>
      </c>
      <c r="I191" s="34" t="n">
        <f aca="false">ROUND(F191/H191*100,0)/100</f>
        <v>0.83</v>
      </c>
      <c r="J191" s="8" t="str">
        <f aca="false">IF(I191&gt;=Summary!$L$6,"Eligible","Shortage")</f>
        <v>Eligible</v>
      </c>
      <c r="K191" s="8" t="str">
        <f aca="false">IF(I191&lt;Summary!$L$8,"YES","No")</f>
        <v>No</v>
      </c>
      <c r="L191" s="8" t="str">
        <f aca="false">IF(I191&gt;=Summary!$L$7,"Counted","Not Counted")</f>
        <v>Counted</v>
      </c>
      <c r="M191" s="13" t="n">
        <f aca="false">IF(I191&gt;=Summary!$L$6,20,ROUND(I191/Summary!$L$6*10,1)*2)</f>
        <v>20</v>
      </c>
      <c r="N191" s="35" t="n">
        <f aca="false">20-M191</f>
        <v>0</v>
      </c>
      <c r="O191" s="8" t="str">
        <f aca="false">IF(I191&gt;=Summary!$L$6,"75%+ (all benefits)",IF(I191&gt;=Summary!$L$7,"55–74%",IF(I191&gt;=Summary!$L$8,"30–54%","Below 30%")))</f>
        <v>75%+ (all benefits)</v>
      </c>
    </row>
    <row r="192" customFormat="false" ht="15" hidden="false" customHeight="false" outlineLevel="0" collapsed="false">
      <c r="A192" s="8" t="n">
        <v>187</v>
      </c>
      <c r="B192" s="8" t="s">
        <v>22</v>
      </c>
      <c r="C192" s="8" t="s">
        <v>61</v>
      </c>
      <c r="D192" s="30" t="s">
        <v>62</v>
      </c>
      <c r="E192" s="9" t="n">
        <v>46300</v>
      </c>
      <c r="F192" s="8" t="n">
        <v>26</v>
      </c>
      <c r="G192" s="8" t="n">
        <v>340</v>
      </c>
      <c r="H192" s="8" t="n">
        <v>366</v>
      </c>
      <c r="I192" s="34" t="n">
        <f aca="false">ROUND(F192/H192*100,0)/100</f>
        <v>0.07</v>
      </c>
      <c r="J192" s="8" t="str">
        <f aca="false">IF(I192&gt;=Summary!$L$6,"Eligible","Shortage")</f>
        <v>Shortage</v>
      </c>
      <c r="K192" s="8" t="str">
        <f aca="false">IF(I192&lt;Summary!$L$8,"YES","No")</f>
        <v>YES</v>
      </c>
      <c r="L192" s="8" t="str">
        <f aca="false">IF(I192&gt;=Summary!$L$7,"Counted","Not Counted")</f>
        <v>Not Counted</v>
      </c>
      <c r="M192" s="13" t="n">
        <f aca="false">IF(I192&gt;=Summary!$L$6,20,ROUND(I192/Summary!$L$6*10,1)*2)</f>
        <v>1.8</v>
      </c>
      <c r="N192" s="35" t="n">
        <f aca="false">20-M192</f>
        <v>18.2</v>
      </c>
      <c r="O192" s="8" t="str">
        <f aca="false">IF(I192&gt;=Summary!$L$6,"75%+ (all benefits)",IF(I192&gt;=Summary!$L$7,"55–74%",IF(I192&gt;=Summary!$L$8,"30–54%","Below 30%")))</f>
        <v>Below 30%</v>
      </c>
    </row>
    <row r="193" customFormat="false" ht="15" hidden="false" customHeight="false" outlineLevel="0" collapsed="false">
      <c r="A193" s="36" t="n">
        <v>188</v>
      </c>
      <c r="B193" s="36" t="s">
        <v>22</v>
      </c>
      <c r="C193" s="36" t="s">
        <v>59</v>
      </c>
      <c r="D193" s="37" t="s">
        <v>60</v>
      </c>
      <c r="E193" s="38" t="n">
        <v>46300</v>
      </c>
      <c r="F193" s="36" t="n">
        <v>19</v>
      </c>
      <c r="G193" s="36" t="n">
        <v>347</v>
      </c>
      <c r="H193" s="36" t="n">
        <v>366</v>
      </c>
      <c r="I193" s="34" t="n">
        <f aca="false">ROUND(F193/H193*100,0)/100</f>
        <v>0.05</v>
      </c>
      <c r="J193" s="8" t="str">
        <f aca="false">IF(I193&gt;=Summary!$L$6,"Eligible","Shortage")</f>
        <v>Shortage</v>
      </c>
      <c r="K193" s="8" t="str">
        <f aca="false">IF(I193&lt;Summary!$L$8,"YES","No")</f>
        <v>YES</v>
      </c>
      <c r="L193" s="8" t="str">
        <f aca="false">IF(I193&gt;=Summary!$L$7,"Counted","Not Counted")</f>
        <v>Not Counted</v>
      </c>
      <c r="M193" s="13" t="n">
        <f aca="false">IF(I193&gt;=Summary!$L$6,20,ROUND(I193/Summary!$L$6*10,1)*2)</f>
        <v>1.4</v>
      </c>
      <c r="N193" s="35" t="n">
        <f aca="false">20-M193</f>
        <v>18.6</v>
      </c>
      <c r="O193" s="8" t="str">
        <f aca="false">IF(I193&gt;=Summary!$L$6,"75%+ (all benefits)",IF(I193&gt;=Summary!$L$7,"55–74%",IF(I193&gt;=Summary!$L$8,"30–54%","Below 30%")))</f>
        <v>Below 30%</v>
      </c>
    </row>
    <row r="194" customFormat="false" ht="15" hidden="false" customHeight="false" outlineLevel="0" collapsed="false">
      <c r="A194" s="8" t="n">
        <v>189</v>
      </c>
      <c r="B194" s="8" t="s">
        <v>22</v>
      </c>
      <c r="C194" s="8" t="s">
        <v>437</v>
      </c>
      <c r="D194" s="30" t="s">
        <v>438</v>
      </c>
      <c r="E194" s="9" t="n">
        <v>46300</v>
      </c>
      <c r="F194" s="8" t="n">
        <v>277</v>
      </c>
      <c r="G194" s="8" t="n">
        <v>89</v>
      </c>
      <c r="H194" s="8" t="n">
        <v>366</v>
      </c>
      <c r="I194" s="34" t="n">
        <f aca="false">ROUND(F194/H194*100,0)/100</f>
        <v>0.76</v>
      </c>
      <c r="J194" s="8" t="str">
        <f aca="false">IF(I194&gt;=Summary!$L$6,"Eligible","Shortage")</f>
        <v>Eligible</v>
      </c>
      <c r="K194" s="8" t="str">
        <f aca="false">IF(I194&lt;Summary!$L$8,"YES","No")</f>
        <v>No</v>
      </c>
      <c r="L194" s="8" t="str">
        <f aca="false">IF(I194&gt;=Summary!$L$7,"Counted","Not Counted")</f>
        <v>Counted</v>
      </c>
      <c r="M194" s="13" t="n">
        <f aca="false">IF(I194&gt;=Summary!$L$6,20,ROUND(I194/Summary!$L$6*10,1)*2)</f>
        <v>20</v>
      </c>
      <c r="N194" s="35" t="n">
        <f aca="false">20-M194</f>
        <v>0</v>
      </c>
      <c r="O194" s="8" t="str">
        <f aca="false">IF(I194&gt;=Summary!$L$6,"75%+ (all benefits)",IF(I194&gt;=Summary!$L$7,"55–74%",IF(I194&gt;=Summary!$L$8,"30–54%","Below 30%")))</f>
        <v>75%+ (all benefits)</v>
      </c>
    </row>
    <row r="195" customFormat="false" ht="15" hidden="false" customHeight="false" outlineLevel="0" collapsed="false">
      <c r="A195" s="36" t="n">
        <v>190</v>
      </c>
      <c r="B195" s="36" t="s">
        <v>22</v>
      </c>
      <c r="C195" s="36" t="s">
        <v>439</v>
      </c>
      <c r="D195" s="37" t="s">
        <v>440</v>
      </c>
      <c r="E195" s="38" t="n">
        <v>46300</v>
      </c>
      <c r="F195" s="36" t="n">
        <v>249</v>
      </c>
      <c r="G195" s="36" t="n">
        <v>68</v>
      </c>
      <c r="H195" s="36" t="n">
        <v>317</v>
      </c>
      <c r="I195" s="34" t="n">
        <f aca="false">ROUND(F195/H195*100,0)/100</f>
        <v>0.79</v>
      </c>
      <c r="J195" s="8" t="str">
        <f aca="false">IF(I195&gt;=Summary!$L$6,"Eligible","Shortage")</f>
        <v>Eligible</v>
      </c>
      <c r="K195" s="8" t="str">
        <f aca="false">IF(I195&lt;Summary!$L$8,"YES","No")</f>
        <v>No</v>
      </c>
      <c r="L195" s="8" t="str">
        <f aca="false">IF(I195&gt;=Summary!$L$7,"Counted","Not Counted")</f>
        <v>Counted</v>
      </c>
      <c r="M195" s="13" t="n">
        <f aca="false">IF(I195&gt;=Summary!$L$6,20,ROUND(I195/Summary!$L$6*10,1)*2)</f>
        <v>20</v>
      </c>
      <c r="N195" s="35" t="n">
        <f aca="false">20-M195</f>
        <v>0</v>
      </c>
      <c r="O195" s="8" t="str">
        <f aca="false">IF(I195&gt;=Summary!$L$6,"75%+ (all benefits)",IF(I195&gt;=Summary!$L$7,"55–74%",IF(I195&gt;=Summary!$L$8,"30–54%","Below 30%")))</f>
        <v>75%+ (all benefits)</v>
      </c>
    </row>
    <row r="196" customFormat="false" ht="15" hidden="false" customHeight="false" outlineLevel="0" collapsed="false">
      <c r="A196" s="8" t="n">
        <v>191</v>
      </c>
      <c r="B196" s="8" t="s">
        <v>23</v>
      </c>
      <c r="C196" s="8" t="s">
        <v>441</v>
      </c>
      <c r="D196" s="30" t="s">
        <v>442</v>
      </c>
      <c r="E196" s="9" t="n">
        <v>46301</v>
      </c>
      <c r="F196" s="8" t="n">
        <v>285</v>
      </c>
      <c r="G196" s="8" t="n">
        <v>96</v>
      </c>
      <c r="H196" s="8" t="n">
        <v>381</v>
      </c>
      <c r="I196" s="34" t="n">
        <f aca="false">ROUND(F196/H196*100,0)/100</f>
        <v>0.75</v>
      </c>
      <c r="J196" s="8" t="str">
        <f aca="false">IF(I196&gt;=Summary!$L$6,"Eligible","Shortage")</f>
        <v>Eligible</v>
      </c>
      <c r="K196" s="8" t="str">
        <f aca="false">IF(I196&lt;Summary!$L$8,"YES","No")</f>
        <v>No</v>
      </c>
      <c r="L196" s="8" t="str">
        <f aca="false">IF(I196&gt;=Summary!$L$7,"Counted","Not Counted")</f>
        <v>Counted</v>
      </c>
      <c r="M196" s="13" t="n">
        <f aca="false">IF(I196&gt;=Summary!$L$6,20,ROUND(I196/Summary!$L$6*10,1)*2)</f>
        <v>20</v>
      </c>
      <c r="N196" s="35" t="n">
        <f aca="false">20-M196</f>
        <v>0</v>
      </c>
      <c r="O196" s="8" t="str">
        <f aca="false">IF(I196&gt;=Summary!$L$6,"75%+ (all benefits)",IF(I196&gt;=Summary!$L$7,"55–74%",IF(I196&gt;=Summary!$L$8,"30–54%","Below 30%")))</f>
        <v>75%+ (all benefits)</v>
      </c>
    </row>
    <row r="197" customFormat="false" ht="15" hidden="false" customHeight="false" outlineLevel="0" collapsed="false">
      <c r="A197" s="36" t="n">
        <v>192</v>
      </c>
      <c r="B197" s="36" t="s">
        <v>23</v>
      </c>
      <c r="C197" s="36" t="s">
        <v>443</v>
      </c>
      <c r="D197" s="37" t="s">
        <v>444</v>
      </c>
      <c r="E197" s="38" t="n">
        <v>46301</v>
      </c>
      <c r="F197" s="36" t="n">
        <v>310</v>
      </c>
      <c r="G197" s="36" t="n">
        <v>62</v>
      </c>
      <c r="H197" s="36" t="n">
        <v>372</v>
      </c>
      <c r="I197" s="34" t="n">
        <f aca="false">ROUND(F197/H197*100,0)/100</f>
        <v>0.83</v>
      </c>
      <c r="J197" s="8" t="str">
        <f aca="false">IF(I197&gt;=Summary!$L$6,"Eligible","Shortage")</f>
        <v>Eligible</v>
      </c>
      <c r="K197" s="8" t="str">
        <f aca="false">IF(I197&lt;Summary!$L$8,"YES","No")</f>
        <v>No</v>
      </c>
      <c r="L197" s="8" t="str">
        <f aca="false">IF(I197&gt;=Summary!$L$7,"Counted","Not Counted")</f>
        <v>Counted</v>
      </c>
      <c r="M197" s="13" t="n">
        <f aca="false">IF(I197&gt;=Summary!$L$6,20,ROUND(I197/Summary!$L$6*10,1)*2)</f>
        <v>20</v>
      </c>
      <c r="N197" s="35" t="n">
        <f aca="false">20-M197</f>
        <v>0</v>
      </c>
      <c r="O197" s="8" t="str">
        <f aca="false">IF(I197&gt;=Summary!$L$6,"75%+ (all benefits)",IF(I197&gt;=Summary!$L$7,"55–74%",IF(I197&gt;=Summary!$L$8,"30–54%","Below 30%")))</f>
        <v>75%+ (all benefits)</v>
      </c>
    </row>
    <row r="198" customFormat="false" ht="15" hidden="false" customHeight="false" outlineLevel="0" collapsed="false">
      <c r="A198" s="8" t="n">
        <v>193</v>
      </c>
      <c r="B198" s="8" t="s">
        <v>23</v>
      </c>
      <c r="C198" s="8" t="s">
        <v>445</v>
      </c>
      <c r="D198" s="30" t="s">
        <v>446</v>
      </c>
      <c r="E198" s="9" t="n">
        <v>46301</v>
      </c>
      <c r="F198" s="8" t="n">
        <v>329</v>
      </c>
      <c r="G198" s="8" t="n">
        <v>43</v>
      </c>
      <c r="H198" s="8" t="n">
        <v>372</v>
      </c>
      <c r="I198" s="34" t="n">
        <f aca="false">ROUND(F198/H198*100,0)/100</f>
        <v>0.88</v>
      </c>
      <c r="J198" s="8" t="str">
        <f aca="false">IF(I198&gt;=Summary!$L$6,"Eligible","Shortage")</f>
        <v>Eligible</v>
      </c>
      <c r="K198" s="8" t="str">
        <f aca="false">IF(I198&lt;Summary!$L$8,"YES","No")</f>
        <v>No</v>
      </c>
      <c r="L198" s="8" t="str">
        <f aca="false">IF(I198&gt;=Summary!$L$7,"Counted","Not Counted")</f>
        <v>Counted</v>
      </c>
      <c r="M198" s="13" t="n">
        <f aca="false">IF(I198&gt;=Summary!$L$6,20,ROUND(I198/Summary!$L$6*10,1)*2)</f>
        <v>20</v>
      </c>
      <c r="N198" s="35" t="n">
        <f aca="false">20-M198</f>
        <v>0</v>
      </c>
      <c r="O198" s="8" t="str">
        <f aca="false">IF(I198&gt;=Summary!$L$6,"75%+ (all benefits)",IF(I198&gt;=Summary!$L$7,"55–74%",IF(I198&gt;=Summary!$L$8,"30–54%","Below 30%")))</f>
        <v>75%+ (all benefits)</v>
      </c>
    </row>
    <row r="199" customFormat="false" ht="15" hidden="false" customHeight="false" outlineLevel="0" collapsed="false">
      <c r="A199" s="36" t="n">
        <v>194</v>
      </c>
      <c r="B199" s="36" t="s">
        <v>23</v>
      </c>
      <c r="C199" s="36" t="s">
        <v>447</v>
      </c>
      <c r="D199" s="37" t="s">
        <v>448</v>
      </c>
      <c r="E199" s="38" t="n">
        <v>46301</v>
      </c>
      <c r="F199" s="36" t="n">
        <v>240</v>
      </c>
      <c r="G199" s="36" t="n">
        <v>132</v>
      </c>
      <c r="H199" s="36" t="n">
        <v>372</v>
      </c>
      <c r="I199" s="34" t="n">
        <f aca="false">ROUND(F199/H199*100,0)/100</f>
        <v>0.65</v>
      </c>
      <c r="J199" s="8" t="str">
        <f aca="false">IF(I199&gt;=Summary!$L$6,"Eligible","Shortage")</f>
        <v>Shortage</v>
      </c>
      <c r="K199" s="8" t="str">
        <f aca="false">IF(I199&lt;Summary!$L$8,"YES","No")</f>
        <v>No</v>
      </c>
      <c r="L199" s="8" t="str">
        <f aca="false">IF(I199&gt;=Summary!$L$7,"Counted","Not Counted")</f>
        <v>Counted</v>
      </c>
      <c r="M199" s="13" t="n">
        <f aca="false">IF(I199&gt;=Summary!$L$6,20,ROUND(I199/Summary!$L$6*10,1)*2)</f>
        <v>17.4</v>
      </c>
      <c r="N199" s="35" t="n">
        <f aca="false">20-M199</f>
        <v>2.6</v>
      </c>
      <c r="O199" s="8" t="str">
        <f aca="false">IF(I199&gt;=Summary!$L$6,"75%+ (all benefits)",IF(I199&gt;=Summary!$L$7,"55–74%",IF(I199&gt;=Summary!$L$8,"30–54%","Below 30%")))</f>
        <v>55–74%</v>
      </c>
    </row>
    <row r="200" customFormat="false" ht="15" hidden="false" customHeight="false" outlineLevel="0" collapsed="false">
      <c r="A200" s="8" t="n">
        <v>195</v>
      </c>
      <c r="B200" s="8" t="s">
        <v>23</v>
      </c>
      <c r="C200" s="8" t="s">
        <v>449</v>
      </c>
      <c r="D200" s="30" t="s">
        <v>450</v>
      </c>
      <c r="E200" s="9" t="n">
        <v>46301</v>
      </c>
      <c r="F200" s="8" t="n">
        <v>331</v>
      </c>
      <c r="G200" s="8" t="n">
        <v>41</v>
      </c>
      <c r="H200" s="8" t="n">
        <v>372</v>
      </c>
      <c r="I200" s="34" t="n">
        <f aca="false">ROUND(F200/H200*100,0)/100</f>
        <v>0.89</v>
      </c>
      <c r="J200" s="8" t="str">
        <f aca="false">IF(I200&gt;=Summary!$L$6,"Eligible","Shortage")</f>
        <v>Eligible</v>
      </c>
      <c r="K200" s="8" t="str">
        <f aca="false">IF(I200&lt;Summary!$L$8,"YES","No")</f>
        <v>No</v>
      </c>
      <c r="L200" s="8" t="str">
        <f aca="false">IF(I200&gt;=Summary!$L$7,"Counted","Not Counted")</f>
        <v>Counted</v>
      </c>
      <c r="M200" s="13" t="n">
        <f aca="false">IF(I200&gt;=Summary!$L$6,20,ROUND(I200/Summary!$L$6*10,1)*2)</f>
        <v>20</v>
      </c>
      <c r="N200" s="35" t="n">
        <f aca="false">20-M200</f>
        <v>0</v>
      </c>
      <c r="O200" s="8" t="str">
        <f aca="false">IF(I200&gt;=Summary!$L$6,"75%+ (all benefits)",IF(I200&gt;=Summary!$L$7,"55–74%",IF(I200&gt;=Summary!$L$8,"30–54%","Below 30%")))</f>
        <v>75%+ (all benefits)</v>
      </c>
    </row>
    <row r="201" customFormat="false" ht="15" hidden="false" customHeight="false" outlineLevel="0" collapsed="false">
      <c r="A201" s="36" t="n">
        <v>196</v>
      </c>
      <c r="B201" s="36" t="s">
        <v>23</v>
      </c>
      <c r="C201" s="36" t="s">
        <v>451</v>
      </c>
      <c r="D201" s="37" t="s">
        <v>452</v>
      </c>
      <c r="E201" s="38" t="n">
        <v>46301</v>
      </c>
      <c r="F201" s="36" t="n">
        <v>311</v>
      </c>
      <c r="G201" s="36" t="n">
        <v>61</v>
      </c>
      <c r="H201" s="36" t="n">
        <v>372</v>
      </c>
      <c r="I201" s="34" t="n">
        <f aca="false">ROUND(F201/H201*100,0)/100</f>
        <v>0.84</v>
      </c>
      <c r="J201" s="8" t="str">
        <f aca="false">IF(I201&gt;=Summary!$L$6,"Eligible","Shortage")</f>
        <v>Eligible</v>
      </c>
      <c r="K201" s="8" t="str">
        <f aca="false">IF(I201&lt;Summary!$L$8,"YES","No")</f>
        <v>No</v>
      </c>
      <c r="L201" s="8" t="str">
        <f aca="false">IF(I201&gt;=Summary!$L$7,"Counted","Not Counted")</f>
        <v>Counted</v>
      </c>
      <c r="M201" s="13" t="n">
        <f aca="false">IF(I201&gt;=Summary!$L$6,20,ROUND(I201/Summary!$L$6*10,1)*2)</f>
        <v>20</v>
      </c>
      <c r="N201" s="35" t="n">
        <f aca="false">20-M201</f>
        <v>0</v>
      </c>
      <c r="O201" s="8" t="str">
        <f aca="false">IF(I201&gt;=Summary!$L$6,"75%+ (all benefits)",IF(I201&gt;=Summary!$L$7,"55–74%",IF(I201&gt;=Summary!$L$8,"30–54%","Below 30%")))</f>
        <v>75%+ (all benefits)</v>
      </c>
    </row>
    <row r="202" customFormat="false" ht="15" hidden="false" customHeight="false" outlineLevel="0" collapsed="false">
      <c r="A202" s="8" t="n">
        <v>197</v>
      </c>
      <c r="B202" s="8" t="s">
        <v>23</v>
      </c>
      <c r="C202" s="8" t="s">
        <v>453</v>
      </c>
      <c r="D202" s="30" t="s">
        <v>454</v>
      </c>
      <c r="E202" s="9" t="n">
        <v>46301</v>
      </c>
      <c r="F202" s="8" t="n">
        <v>317</v>
      </c>
      <c r="G202" s="8" t="n">
        <v>55</v>
      </c>
      <c r="H202" s="8" t="n">
        <v>372</v>
      </c>
      <c r="I202" s="34" t="n">
        <f aca="false">ROUND(F202/H202*100,0)/100</f>
        <v>0.85</v>
      </c>
      <c r="J202" s="8" t="str">
        <f aca="false">IF(I202&gt;=Summary!$L$6,"Eligible","Shortage")</f>
        <v>Eligible</v>
      </c>
      <c r="K202" s="8" t="str">
        <f aca="false">IF(I202&lt;Summary!$L$8,"YES","No")</f>
        <v>No</v>
      </c>
      <c r="L202" s="8" t="str">
        <f aca="false">IF(I202&gt;=Summary!$L$7,"Counted","Not Counted")</f>
        <v>Counted</v>
      </c>
      <c r="M202" s="13" t="n">
        <f aca="false">IF(I202&gt;=Summary!$L$6,20,ROUND(I202/Summary!$L$6*10,1)*2)</f>
        <v>20</v>
      </c>
      <c r="N202" s="35" t="n">
        <f aca="false">20-M202</f>
        <v>0</v>
      </c>
      <c r="O202" s="8" t="str">
        <f aca="false">IF(I202&gt;=Summary!$L$6,"75%+ (all benefits)",IF(I202&gt;=Summary!$L$7,"55–74%",IF(I202&gt;=Summary!$L$8,"30–54%","Below 30%")))</f>
        <v>75%+ (all benefits)</v>
      </c>
    </row>
    <row r="203" customFormat="false" ht="15" hidden="false" customHeight="false" outlineLevel="0" collapsed="false">
      <c r="A203" s="36" t="n">
        <v>198</v>
      </c>
      <c r="B203" s="36" t="s">
        <v>23</v>
      </c>
      <c r="C203" s="36" t="s">
        <v>455</v>
      </c>
      <c r="D203" s="37" t="s">
        <v>142</v>
      </c>
      <c r="E203" s="38" t="n">
        <v>46301</v>
      </c>
      <c r="F203" s="36" t="n">
        <v>236</v>
      </c>
      <c r="G203" s="36" t="n">
        <v>135</v>
      </c>
      <c r="H203" s="36" t="n">
        <v>371</v>
      </c>
      <c r="I203" s="34" t="n">
        <f aca="false">ROUND(F203/H203*100,0)/100</f>
        <v>0.64</v>
      </c>
      <c r="J203" s="8" t="str">
        <f aca="false">IF(I203&gt;=Summary!$L$6,"Eligible","Shortage")</f>
        <v>Shortage</v>
      </c>
      <c r="K203" s="8" t="str">
        <f aca="false">IF(I203&lt;Summary!$L$8,"YES","No")</f>
        <v>No</v>
      </c>
      <c r="L203" s="8" t="str">
        <f aca="false">IF(I203&gt;=Summary!$L$7,"Counted","Not Counted")</f>
        <v>Counted</v>
      </c>
      <c r="M203" s="13" t="n">
        <f aca="false">IF(I203&gt;=Summary!$L$6,20,ROUND(I203/Summary!$L$6*10,1)*2)</f>
        <v>17</v>
      </c>
      <c r="N203" s="35" t="n">
        <f aca="false">20-M203</f>
        <v>3</v>
      </c>
      <c r="O203" s="8" t="str">
        <f aca="false">IF(I203&gt;=Summary!$L$6,"75%+ (all benefits)",IF(I203&gt;=Summary!$L$7,"55–74%",IF(I203&gt;=Summary!$L$8,"30–54%","Below 30%")))</f>
        <v>55–74%</v>
      </c>
    </row>
    <row r="204" customFormat="false" ht="15" hidden="false" customHeight="false" outlineLevel="0" collapsed="false">
      <c r="A204" s="8" t="n">
        <v>199</v>
      </c>
      <c r="B204" s="8" t="s">
        <v>23</v>
      </c>
      <c r="C204" s="8" t="s">
        <v>456</v>
      </c>
      <c r="D204" s="30" t="s">
        <v>457</v>
      </c>
      <c r="E204" s="9" t="n">
        <v>46301</v>
      </c>
      <c r="F204" s="8" t="n">
        <v>321</v>
      </c>
      <c r="G204" s="8" t="n">
        <v>51</v>
      </c>
      <c r="H204" s="8" t="n">
        <v>372</v>
      </c>
      <c r="I204" s="34" t="n">
        <f aca="false">ROUND(F204/H204*100,0)/100</f>
        <v>0.86</v>
      </c>
      <c r="J204" s="8" t="str">
        <f aca="false">IF(I204&gt;=Summary!$L$6,"Eligible","Shortage")</f>
        <v>Eligible</v>
      </c>
      <c r="K204" s="8" t="str">
        <f aca="false">IF(I204&lt;Summary!$L$8,"YES","No")</f>
        <v>No</v>
      </c>
      <c r="L204" s="8" t="str">
        <f aca="false">IF(I204&gt;=Summary!$L$7,"Counted","Not Counted")</f>
        <v>Counted</v>
      </c>
      <c r="M204" s="13" t="n">
        <f aca="false">IF(I204&gt;=Summary!$L$6,20,ROUND(I204/Summary!$L$6*10,1)*2)</f>
        <v>20</v>
      </c>
      <c r="N204" s="35" t="n">
        <f aca="false">20-M204</f>
        <v>0</v>
      </c>
      <c r="O204" s="8" t="str">
        <f aca="false">IF(I204&gt;=Summary!$L$6,"75%+ (all benefits)",IF(I204&gt;=Summary!$L$7,"55–74%",IF(I204&gt;=Summary!$L$8,"30–54%","Below 30%")))</f>
        <v>75%+ (all benefits)</v>
      </c>
    </row>
    <row r="205" customFormat="false" ht="15" hidden="false" customHeight="false" outlineLevel="0" collapsed="false">
      <c r="A205" s="36" t="n">
        <v>200</v>
      </c>
      <c r="B205" s="36" t="s">
        <v>23</v>
      </c>
      <c r="C205" s="36" t="s">
        <v>458</v>
      </c>
      <c r="D205" s="37" t="s">
        <v>459</v>
      </c>
      <c r="E205" s="38" t="n">
        <v>46301</v>
      </c>
      <c r="F205" s="36" t="n">
        <v>325</v>
      </c>
      <c r="G205" s="36" t="n">
        <v>47</v>
      </c>
      <c r="H205" s="36" t="n">
        <v>372</v>
      </c>
      <c r="I205" s="34" t="n">
        <f aca="false">ROUND(F205/H205*100,0)/100</f>
        <v>0.87</v>
      </c>
      <c r="J205" s="8" t="str">
        <f aca="false">IF(I205&gt;=Summary!$L$6,"Eligible","Shortage")</f>
        <v>Eligible</v>
      </c>
      <c r="K205" s="8" t="str">
        <f aca="false">IF(I205&lt;Summary!$L$8,"YES","No")</f>
        <v>No</v>
      </c>
      <c r="L205" s="8" t="str">
        <f aca="false">IF(I205&gt;=Summary!$L$7,"Counted","Not Counted")</f>
        <v>Counted</v>
      </c>
      <c r="M205" s="13" t="n">
        <f aca="false">IF(I205&gt;=Summary!$L$6,20,ROUND(I205/Summary!$L$6*10,1)*2)</f>
        <v>20</v>
      </c>
      <c r="N205" s="35" t="n">
        <f aca="false">20-M205</f>
        <v>0</v>
      </c>
      <c r="O205" s="8" t="str">
        <f aca="false">IF(I205&gt;=Summary!$L$6,"75%+ (all benefits)",IF(I205&gt;=Summary!$L$7,"55–74%",IF(I205&gt;=Summary!$L$8,"30–54%","Below 30%")))</f>
        <v>75%+ (all benefits)</v>
      </c>
    </row>
    <row r="206" customFormat="false" ht="15" hidden="false" customHeight="false" outlineLevel="0" collapsed="false">
      <c r="A206" s="8" t="n">
        <v>201</v>
      </c>
      <c r="B206" s="8" t="s">
        <v>23</v>
      </c>
      <c r="C206" s="8" t="s">
        <v>460</v>
      </c>
      <c r="D206" s="30" t="s">
        <v>461</v>
      </c>
      <c r="E206" s="9" t="n">
        <v>46301</v>
      </c>
      <c r="F206" s="8" t="n">
        <v>254</v>
      </c>
      <c r="G206" s="8" t="n">
        <v>118</v>
      </c>
      <c r="H206" s="8" t="n">
        <v>372</v>
      </c>
      <c r="I206" s="34" t="n">
        <f aca="false">ROUND(F206/H206*100,0)/100</f>
        <v>0.68</v>
      </c>
      <c r="J206" s="8" t="str">
        <f aca="false">IF(I206&gt;=Summary!$L$6,"Eligible","Shortage")</f>
        <v>Shortage</v>
      </c>
      <c r="K206" s="8" t="str">
        <f aca="false">IF(I206&lt;Summary!$L$8,"YES","No")</f>
        <v>No</v>
      </c>
      <c r="L206" s="8" t="str">
        <f aca="false">IF(I206&gt;=Summary!$L$7,"Counted","Not Counted")</f>
        <v>Counted</v>
      </c>
      <c r="M206" s="13" t="n">
        <f aca="false">IF(I206&gt;=Summary!$L$6,20,ROUND(I206/Summary!$L$6*10,1)*2)</f>
        <v>18.2</v>
      </c>
      <c r="N206" s="35" t="n">
        <f aca="false">20-M206</f>
        <v>1.8</v>
      </c>
      <c r="O206" s="8" t="str">
        <f aca="false">IF(I206&gt;=Summary!$L$6,"75%+ (all benefits)",IF(I206&gt;=Summary!$L$7,"55–74%",IF(I206&gt;=Summary!$L$8,"30–54%","Below 30%")))</f>
        <v>55–74%</v>
      </c>
    </row>
    <row r="207" customFormat="false" ht="15" hidden="false" customHeight="false" outlineLevel="0" collapsed="false">
      <c r="A207" s="36" t="n">
        <v>202</v>
      </c>
      <c r="B207" s="36" t="s">
        <v>23</v>
      </c>
      <c r="C207" s="36" t="s">
        <v>462</v>
      </c>
      <c r="D207" s="37" t="s">
        <v>463</v>
      </c>
      <c r="E207" s="38" t="n">
        <v>46301</v>
      </c>
      <c r="F207" s="36" t="n">
        <v>270</v>
      </c>
      <c r="G207" s="36" t="n">
        <v>102</v>
      </c>
      <c r="H207" s="36" t="n">
        <v>372</v>
      </c>
      <c r="I207" s="34" t="n">
        <f aca="false">ROUND(F207/H207*100,0)/100</f>
        <v>0.73</v>
      </c>
      <c r="J207" s="8" t="str">
        <f aca="false">IF(I207&gt;=Summary!$L$6,"Eligible","Shortage")</f>
        <v>Shortage</v>
      </c>
      <c r="K207" s="8" t="str">
        <f aca="false">IF(I207&lt;Summary!$L$8,"YES","No")</f>
        <v>No</v>
      </c>
      <c r="L207" s="8" t="str">
        <f aca="false">IF(I207&gt;=Summary!$L$7,"Counted","Not Counted")</f>
        <v>Counted</v>
      </c>
      <c r="M207" s="13" t="n">
        <f aca="false">IF(I207&gt;=Summary!$L$6,20,ROUND(I207/Summary!$L$6*10,1)*2)</f>
        <v>19.4</v>
      </c>
      <c r="N207" s="35" t="n">
        <f aca="false">20-M207</f>
        <v>0.600000000000001</v>
      </c>
      <c r="O207" s="8" t="str">
        <f aca="false">IF(I207&gt;=Summary!$L$6,"75%+ (all benefits)",IF(I207&gt;=Summary!$L$7,"55–74%",IF(I207&gt;=Summary!$L$8,"30–54%","Below 30%")))</f>
        <v>55–74%</v>
      </c>
    </row>
    <row r="208" customFormat="false" ht="15" hidden="false" customHeight="false" outlineLevel="0" collapsed="false">
      <c r="A208" s="8" t="n">
        <v>203</v>
      </c>
      <c r="B208" s="8" t="s">
        <v>23</v>
      </c>
      <c r="C208" s="8" t="s">
        <v>464</v>
      </c>
      <c r="D208" s="30" t="s">
        <v>465</v>
      </c>
      <c r="E208" s="9" t="n">
        <v>46301</v>
      </c>
      <c r="F208" s="8" t="n">
        <v>275</v>
      </c>
      <c r="G208" s="8" t="n">
        <v>97</v>
      </c>
      <c r="H208" s="8" t="n">
        <v>372</v>
      </c>
      <c r="I208" s="34" t="n">
        <f aca="false">ROUND(F208/H208*100,0)/100</f>
        <v>0.74</v>
      </c>
      <c r="J208" s="8" t="str">
        <f aca="false">IF(I208&gt;=Summary!$L$6,"Eligible","Shortage")</f>
        <v>Shortage</v>
      </c>
      <c r="K208" s="8" t="str">
        <f aca="false">IF(I208&lt;Summary!$L$8,"YES","No")</f>
        <v>No</v>
      </c>
      <c r="L208" s="8" t="str">
        <f aca="false">IF(I208&gt;=Summary!$L$7,"Counted","Not Counted")</f>
        <v>Counted</v>
      </c>
      <c r="M208" s="13" t="n">
        <f aca="false">IF(I208&gt;=Summary!$L$6,20,ROUND(I208/Summary!$L$6*10,1)*2)</f>
        <v>19.8</v>
      </c>
      <c r="N208" s="35" t="n">
        <f aca="false">20-M208</f>
        <v>0.199999999999999</v>
      </c>
      <c r="O208" s="8" t="str">
        <f aca="false">IF(I208&gt;=Summary!$L$6,"75%+ (all benefits)",IF(I208&gt;=Summary!$L$7,"55–74%",IF(I208&gt;=Summary!$L$8,"30–54%","Below 30%")))</f>
        <v>55–74%</v>
      </c>
    </row>
    <row r="209" customFormat="false" ht="15" hidden="false" customHeight="false" outlineLevel="0" collapsed="false">
      <c r="A209" s="36" t="n">
        <v>204</v>
      </c>
      <c r="B209" s="36" t="s">
        <v>23</v>
      </c>
      <c r="C209" s="36" t="s">
        <v>466</v>
      </c>
      <c r="D209" s="37" t="s">
        <v>467</v>
      </c>
      <c r="E209" s="38" t="n">
        <v>46301</v>
      </c>
      <c r="F209" s="36" t="n">
        <v>321</v>
      </c>
      <c r="G209" s="36" t="n">
        <v>51</v>
      </c>
      <c r="H209" s="36" t="n">
        <v>372</v>
      </c>
      <c r="I209" s="34" t="n">
        <f aca="false">ROUND(F209/H209*100,0)/100</f>
        <v>0.86</v>
      </c>
      <c r="J209" s="8" t="str">
        <f aca="false">IF(I209&gt;=Summary!$L$6,"Eligible","Shortage")</f>
        <v>Eligible</v>
      </c>
      <c r="K209" s="8" t="str">
        <f aca="false">IF(I209&lt;Summary!$L$8,"YES","No")</f>
        <v>No</v>
      </c>
      <c r="L209" s="8" t="str">
        <f aca="false">IF(I209&gt;=Summary!$L$7,"Counted","Not Counted")</f>
        <v>Counted</v>
      </c>
      <c r="M209" s="13" t="n">
        <f aca="false">IF(I209&gt;=Summary!$L$6,20,ROUND(I209/Summary!$L$6*10,1)*2)</f>
        <v>20</v>
      </c>
      <c r="N209" s="35" t="n">
        <f aca="false">20-M209</f>
        <v>0</v>
      </c>
      <c r="O209" s="8" t="str">
        <f aca="false">IF(I209&gt;=Summary!$L$6,"75%+ (all benefits)",IF(I209&gt;=Summary!$L$7,"55–74%",IF(I209&gt;=Summary!$L$8,"30–54%","Below 30%")))</f>
        <v>75%+ (all benefits)</v>
      </c>
    </row>
    <row r="210" customFormat="false" ht="15" hidden="false" customHeight="false" outlineLevel="0" collapsed="false">
      <c r="A210" s="8" t="n">
        <v>205</v>
      </c>
      <c r="B210" s="8" t="s">
        <v>23</v>
      </c>
      <c r="C210" s="8" t="s">
        <v>468</v>
      </c>
      <c r="D210" s="30" t="s">
        <v>469</v>
      </c>
      <c r="E210" s="9" t="n">
        <v>46301</v>
      </c>
      <c r="F210" s="8" t="n">
        <v>333</v>
      </c>
      <c r="G210" s="8" t="n">
        <v>39</v>
      </c>
      <c r="H210" s="8" t="n">
        <v>372</v>
      </c>
      <c r="I210" s="34" t="n">
        <f aca="false">ROUND(F210/H210*100,0)/100</f>
        <v>0.9</v>
      </c>
      <c r="J210" s="8" t="str">
        <f aca="false">IF(I210&gt;=Summary!$L$6,"Eligible","Shortage")</f>
        <v>Eligible</v>
      </c>
      <c r="K210" s="8" t="str">
        <f aca="false">IF(I210&lt;Summary!$L$8,"YES","No")</f>
        <v>No</v>
      </c>
      <c r="L210" s="8" t="str">
        <f aca="false">IF(I210&gt;=Summary!$L$7,"Counted","Not Counted")</f>
        <v>Counted</v>
      </c>
      <c r="M210" s="13" t="n">
        <f aca="false">IF(I210&gt;=Summary!$L$6,20,ROUND(I210/Summary!$L$6*10,1)*2)</f>
        <v>20</v>
      </c>
      <c r="N210" s="35" t="n">
        <f aca="false">20-M210</f>
        <v>0</v>
      </c>
      <c r="O210" s="8" t="str">
        <f aca="false">IF(I210&gt;=Summary!$L$6,"75%+ (all benefits)",IF(I210&gt;=Summary!$L$7,"55–74%",IF(I210&gt;=Summary!$L$8,"30–54%","Below 30%")))</f>
        <v>75%+ (all benefits)</v>
      </c>
    </row>
    <row r="211" customFormat="false" ht="15" hidden="false" customHeight="false" outlineLevel="0" collapsed="false">
      <c r="A211" s="36" t="n">
        <v>206</v>
      </c>
      <c r="B211" s="36" t="s">
        <v>23</v>
      </c>
      <c r="C211" s="36" t="s">
        <v>470</v>
      </c>
      <c r="D211" s="37" t="s">
        <v>471</v>
      </c>
      <c r="E211" s="38" t="n">
        <v>46301</v>
      </c>
      <c r="F211" s="36" t="n">
        <v>291</v>
      </c>
      <c r="G211" s="36" t="n">
        <v>81</v>
      </c>
      <c r="H211" s="36" t="n">
        <v>372</v>
      </c>
      <c r="I211" s="34" t="n">
        <f aca="false">ROUND(F211/H211*100,0)/100</f>
        <v>0.78</v>
      </c>
      <c r="J211" s="8" t="str">
        <f aca="false">IF(I211&gt;=Summary!$L$6,"Eligible","Shortage")</f>
        <v>Eligible</v>
      </c>
      <c r="K211" s="8" t="str">
        <f aca="false">IF(I211&lt;Summary!$L$8,"YES","No")</f>
        <v>No</v>
      </c>
      <c r="L211" s="8" t="str">
        <f aca="false">IF(I211&gt;=Summary!$L$7,"Counted","Not Counted")</f>
        <v>Counted</v>
      </c>
      <c r="M211" s="13" t="n">
        <f aca="false">IF(I211&gt;=Summary!$L$6,20,ROUND(I211/Summary!$L$6*10,1)*2)</f>
        <v>20</v>
      </c>
      <c r="N211" s="35" t="n">
        <f aca="false">20-M211</f>
        <v>0</v>
      </c>
      <c r="O211" s="8" t="str">
        <f aca="false">IF(I211&gt;=Summary!$L$6,"75%+ (all benefits)",IF(I211&gt;=Summary!$L$7,"55–74%",IF(I211&gt;=Summary!$L$8,"30–54%","Below 30%")))</f>
        <v>75%+ (all benefits)</v>
      </c>
    </row>
    <row r="212" customFormat="false" ht="15" hidden="false" customHeight="false" outlineLevel="0" collapsed="false">
      <c r="A212" s="8" t="n">
        <v>207</v>
      </c>
      <c r="B212" s="8" t="s">
        <v>23</v>
      </c>
      <c r="C212" s="8" t="s">
        <v>472</v>
      </c>
      <c r="D212" s="30" t="s">
        <v>473</v>
      </c>
      <c r="E212" s="9" t="n">
        <v>46301</v>
      </c>
      <c r="F212" s="8" t="n">
        <v>117</v>
      </c>
      <c r="G212" s="8" t="n">
        <v>255</v>
      </c>
      <c r="H212" s="8" t="n">
        <v>372</v>
      </c>
      <c r="I212" s="34" t="n">
        <f aca="false">ROUND(F212/H212*100,0)/100</f>
        <v>0.31</v>
      </c>
      <c r="J212" s="8" t="str">
        <f aca="false">IF(I212&gt;=Summary!$L$6,"Eligible","Shortage")</f>
        <v>Shortage</v>
      </c>
      <c r="K212" s="8" t="str">
        <f aca="false">IF(I212&lt;Summary!$L$8,"YES","No")</f>
        <v>No</v>
      </c>
      <c r="L212" s="8" t="str">
        <f aca="false">IF(I212&gt;=Summary!$L$7,"Counted","Not Counted")</f>
        <v>Not Counted</v>
      </c>
      <c r="M212" s="13" t="n">
        <f aca="false">IF(I212&gt;=Summary!$L$6,20,ROUND(I212/Summary!$L$6*10,1)*2)</f>
        <v>8.2</v>
      </c>
      <c r="N212" s="35" t="n">
        <f aca="false">20-M212</f>
        <v>11.8</v>
      </c>
      <c r="O212" s="8" t="str">
        <f aca="false">IF(I212&gt;=Summary!$L$6,"75%+ (all benefits)",IF(I212&gt;=Summary!$L$7,"55–74%",IF(I212&gt;=Summary!$L$8,"30–54%","Below 30%")))</f>
        <v>30–54%</v>
      </c>
    </row>
    <row r="213" customFormat="false" ht="15" hidden="false" customHeight="false" outlineLevel="0" collapsed="false">
      <c r="A213" s="36" t="n">
        <v>208</v>
      </c>
      <c r="B213" s="36" t="s">
        <v>23</v>
      </c>
      <c r="C213" s="36" t="s">
        <v>474</v>
      </c>
      <c r="D213" s="37" t="s">
        <v>475</v>
      </c>
      <c r="E213" s="38" t="n">
        <v>46301</v>
      </c>
      <c r="F213" s="36" t="n">
        <v>270</v>
      </c>
      <c r="G213" s="36" t="n">
        <v>102</v>
      </c>
      <c r="H213" s="36" t="n">
        <v>372</v>
      </c>
      <c r="I213" s="34" t="n">
        <f aca="false">ROUND(F213/H213*100,0)/100</f>
        <v>0.73</v>
      </c>
      <c r="J213" s="8" t="str">
        <f aca="false">IF(I213&gt;=Summary!$L$6,"Eligible","Shortage")</f>
        <v>Shortage</v>
      </c>
      <c r="K213" s="8" t="str">
        <f aca="false">IF(I213&lt;Summary!$L$8,"YES","No")</f>
        <v>No</v>
      </c>
      <c r="L213" s="8" t="str">
        <f aca="false">IF(I213&gt;=Summary!$L$7,"Counted","Not Counted")</f>
        <v>Counted</v>
      </c>
      <c r="M213" s="13" t="n">
        <f aca="false">IF(I213&gt;=Summary!$L$6,20,ROUND(I213/Summary!$L$6*10,1)*2)</f>
        <v>19.4</v>
      </c>
      <c r="N213" s="35" t="n">
        <f aca="false">20-M213</f>
        <v>0.600000000000001</v>
      </c>
      <c r="O213" s="8" t="str">
        <f aca="false">IF(I213&gt;=Summary!$L$6,"75%+ (all benefits)",IF(I213&gt;=Summary!$L$7,"55–74%",IF(I213&gt;=Summary!$L$8,"30–54%","Below 30%")))</f>
        <v>55–74%</v>
      </c>
    </row>
    <row r="214" customFormat="false" ht="15" hidden="false" customHeight="false" outlineLevel="0" collapsed="false">
      <c r="A214" s="8" t="n">
        <v>209</v>
      </c>
      <c r="B214" s="8" t="s">
        <v>23</v>
      </c>
      <c r="C214" s="8" t="s">
        <v>476</v>
      </c>
      <c r="D214" s="30" t="s">
        <v>477</v>
      </c>
      <c r="E214" s="9" t="n">
        <v>46301</v>
      </c>
      <c r="F214" s="8" t="n">
        <v>271</v>
      </c>
      <c r="G214" s="8" t="n">
        <v>101</v>
      </c>
      <c r="H214" s="8" t="n">
        <v>372</v>
      </c>
      <c r="I214" s="34" t="n">
        <f aca="false">ROUND(F214/H214*100,0)/100</f>
        <v>0.73</v>
      </c>
      <c r="J214" s="8" t="str">
        <f aca="false">IF(I214&gt;=Summary!$L$6,"Eligible","Shortage")</f>
        <v>Shortage</v>
      </c>
      <c r="K214" s="8" t="str">
        <f aca="false">IF(I214&lt;Summary!$L$8,"YES","No")</f>
        <v>No</v>
      </c>
      <c r="L214" s="8" t="str">
        <f aca="false">IF(I214&gt;=Summary!$L$7,"Counted","Not Counted")</f>
        <v>Counted</v>
      </c>
      <c r="M214" s="13" t="n">
        <f aca="false">IF(I214&gt;=Summary!$L$6,20,ROUND(I214/Summary!$L$6*10,1)*2)</f>
        <v>19.4</v>
      </c>
      <c r="N214" s="35" t="n">
        <f aca="false">20-M214</f>
        <v>0.600000000000001</v>
      </c>
      <c r="O214" s="8" t="str">
        <f aca="false">IF(I214&gt;=Summary!$L$6,"75%+ (all benefits)",IF(I214&gt;=Summary!$L$7,"55–74%",IF(I214&gt;=Summary!$L$8,"30–54%","Below 30%")))</f>
        <v>55–74%</v>
      </c>
    </row>
    <row r="215" customFormat="false" ht="15" hidden="false" customHeight="false" outlineLevel="0" collapsed="false">
      <c r="A215" s="36" t="n">
        <v>210</v>
      </c>
      <c r="B215" s="36" t="s">
        <v>23</v>
      </c>
      <c r="C215" s="36" t="s">
        <v>478</v>
      </c>
      <c r="D215" s="37" t="s">
        <v>479</v>
      </c>
      <c r="E215" s="38" t="n">
        <v>46301</v>
      </c>
      <c r="F215" s="36" t="n">
        <v>291</v>
      </c>
      <c r="G215" s="36" t="n">
        <v>81</v>
      </c>
      <c r="H215" s="36" t="n">
        <v>372</v>
      </c>
      <c r="I215" s="34" t="n">
        <f aca="false">ROUND(F215/H215*100,0)/100</f>
        <v>0.78</v>
      </c>
      <c r="J215" s="8" t="str">
        <f aca="false">IF(I215&gt;=Summary!$L$6,"Eligible","Shortage")</f>
        <v>Eligible</v>
      </c>
      <c r="K215" s="8" t="str">
        <f aca="false">IF(I215&lt;Summary!$L$8,"YES","No")</f>
        <v>No</v>
      </c>
      <c r="L215" s="8" t="str">
        <f aca="false">IF(I215&gt;=Summary!$L$7,"Counted","Not Counted")</f>
        <v>Counted</v>
      </c>
      <c r="M215" s="13" t="n">
        <f aca="false">IF(I215&gt;=Summary!$L$6,20,ROUND(I215/Summary!$L$6*10,1)*2)</f>
        <v>20</v>
      </c>
      <c r="N215" s="35" t="n">
        <f aca="false">20-M215</f>
        <v>0</v>
      </c>
      <c r="O215" s="8" t="str">
        <f aca="false">IF(I215&gt;=Summary!$L$6,"75%+ (all benefits)",IF(I215&gt;=Summary!$L$7,"55–74%",IF(I215&gt;=Summary!$L$8,"30–54%","Below 30%")))</f>
        <v>75%+ (all benefits)</v>
      </c>
    </row>
    <row r="216" customFormat="false" ht="15" hidden="false" customHeight="false" outlineLevel="0" collapsed="false">
      <c r="A216" s="8" t="n">
        <v>211</v>
      </c>
      <c r="B216" s="8" t="s">
        <v>23</v>
      </c>
      <c r="C216" s="8" t="s">
        <v>480</v>
      </c>
      <c r="D216" s="30" t="s">
        <v>481</v>
      </c>
      <c r="E216" s="9" t="n">
        <v>46301</v>
      </c>
      <c r="F216" s="8" t="n">
        <v>303</v>
      </c>
      <c r="G216" s="8" t="n">
        <v>69</v>
      </c>
      <c r="H216" s="8" t="n">
        <v>372</v>
      </c>
      <c r="I216" s="34" t="n">
        <f aca="false">ROUND(F216/H216*100,0)/100</f>
        <v>0.81</v>
      </c>
      <c r="J216" s="8" t="str">
        <f aca="false">IF(I216&gt;=Summary!$L$6,"Eligible","Shortage")</f>
        <v>Eligible</v>
      </c>
      <c r="K216" s="8" t="str">
        <f aca="false">IF(I216&lt;Summary!$L$8,"YES","No")</f>
        <v>No</v>
      </c>
      <c r="L216" s="8" t="str">
        <f aca="false">IF(I216&gt;=Summary!$L$7,"Counted","Not Counted")</f>
        <v>Counted</v>
      </c>
      <c r="M216" s="13" t="n">
        <f aca="false">IF(I216&gt;=Summary!$L$6,20,ROUND(I216/Summary!$L$6*10,1)*2)</f>
        <v>20</v>
      </c>
      <c r="N216" s="35" t="n">
        <f aca="false">20-M216</f>
        <v>0</v>
      </c>
      <c r="O216" s="8" t="str">
        <f aca="false">IF(I216&gt;=Summary!$L$6,"75%+ (all benefits)",IF(I216&gt;=Summary!$L$7,"55–74%",IF(I216&gt;=Summary!$L$8,"30–54%","Below 30%")))</f>
        <v>75%+ (all benefits)</v>
      </c>
    </row>
    <row r="217" customFormat="false" ht="15" hidden="false" customHeight="false" outlineLevel="0" collapsed="false">
      <c r="A217" s="36" t="n">
        <v>212</v>
      </c>
      <c r="B217" s="36" t="s">
        <v>23</v>
      </c>
      <c r="C217" s="36" t="s">
        <v>482</v>
      </c>
      <c r="D217" s="37" t="s">
        <v>483</v>
      </c>
      <c r="E217" s="38" t="n">
        <v>46301</v>
      </c>
      <c r="F217" s="36" t="n">
        <v>332</v>
      </c>
      <c r="G217" s="36" t="n">
        <v>40</v>
      </c>
      <c r="H217" s="36" t="n">
        <v>372</v>
      </c>
      <c r="I217" s="34" t="n">
        <f aca="false">ROUND(F217/H217*100,0)/100</f>
        <v>0.89</v>
      </c>
      <c r="J217" s="8" t="str">
        <f aca="false">IF(I217&gt;=Summary!$L$6,"Eligible","Shortage")</f>
        <v>Eligible</v>
      </c>
      <c r="K217" s="8" t="str">
        <f aca="false">IF(I217&lt;Summary!$L$8,"YES","No")</f>
        <v>No</v>
      </c>
      <c r="L217" s="8" t="str">
        <f aca="false">IF(I217&gt;=Summary!$L$7,"Counted","Not Counted")</f>
        <v>Counted</v>
      </c>
      <c r="M217" s="13" t="n">
        <f aca="false">IF(I217&gt;=Summary!$L$6,20,ROUND(I217/Summary!$L$6*10,1)*2)</f>
        <v>20</v>
      </c>
      <c r="N217" s="35" t="n">
        <f aca="false">20-M217</f>
        <v>0</v>
      </c>
      <c r="O217" s="8" t="str">
        <f aca="false">IF(I217&gt;=Summary!$L$6,"75%+ (all benefits)",IF(I217&gt;=Summary!$L$7,"55–74%",IF(I217&gt;=Summary!$L$8,"30–54%","Below 30%")))</f>
        <v>75%+ (all benefits)</v>
      </c>
    </row>
    <row r="218" customFormat="false" ht="15" hidden="false" customHeight="false" outlineLevel="0" collapsed="false">
      <c r="A218" s="8" t="n">
        <v>213</v>
      </c>
      <c r="B218" s="8" t="s">
        <v>23</v>
      </c>
      <c r="C218" s="8" t="s">
        <v>484</v>
      </c>
      <c r="D218" s="30" t="s">
        <v>485</v>
      </c>
      <c r="E218" s="9" t="n">
        <v>46301</v>
      </c>
      <c r="F218" s="8" t="n">
        <v>256</v>
      </c>
      <c r="G218" s="8" t="n">
        <v>116</v>
      </c>
      <c r="H218" s="8" t="n">
        <v>372</v>
      </c>
      <c r="I218" s="34" t="n">
        <f aca="false">ROUND(F218/H218*100,0)/100</f>
        <v>0.69</v>
      </c>
      <c r="J218" s="8" t="str">
        <f aca="false">IF(I218&gt;=Summary!$L$6,"Eligible","Shortage")</f>
        <v>Shortage</v>
      </c>
      <c r="K218" s="8" t="str">
        <f aca="false">IF(I218&lt;Summary!$L$8,"YES","No")</f>
        <v>No</v>
      </c>
      <c r="L218" s="8" t="str">
        <f aca="false">IF(I218&gt;=Summary!$L$7,"Counted","Not Counted")</f>
        <v>Counted</v>
      </c>
      <c r="M218" s="13" t="n">
        <f aca="false">IF(I218&gt;=Summary!$L$6,20,ROUND(I218/Summary!$L$6*10,1)*2)</f>
        <v>18.4</v>
      </c>
      <c r="N218" s="35" t="n">
        <f aca="false">20-M218</f>
        <v>1.6</v>
      </c>
      <c r="O218" s="8" t="str">
        <f aca="false">IF(I218&gt;=Summary!$L$6,"75%+ (all benefits)",IF(I218&gt;=Summary!$L$7,"55–74%",IF(I218&gt;=Summary!$L$8,"30–54%","Below 30%")))</f>
        <v>55–74%</v>
      </c>
    </row>
    <row r="219" customFormat="false" ht="15" hidden="false" customHeight="false" outlineLevel="0" collapsed="false">
      <c r="A219" s="36" t="n">
        <v>214</v>
      </c>
      <c r="B219" s="36" t="s">
        <v>23</v>
      </c>
      <c r="C219" s="36" t="s">
        <v>486</v>
      </c>
      <c r="D219" s="37" t="s">
        <v>487</v>
      </c>
      <c r="E219" s="38" t="n">
        <v>46301</v>
      </c>
      <c r="F219" s="36" t="n">
        <v>335</v>
      </c>
      <c r="G219" s="36" t="n">
        <v>37</v>
      </c>
      <c r="H219" s="36" t="n">
        <v>372</v>
      </c>
      <c r="I219" s="34" t="n">
        <f aca="false">ROUND(F219/H219*100,0)/100</f>
        <v>0.9</v>
      </c>
      <c r="J219" s="8" t="str">
        <f aca="false">IF(I219&gt;=Summary!$L$6,"Eligible","Shortage")</f>
        <v>Eligible</v>
      </c>
      <c r="K219" s="8" t="str">
        <f aca="false">IF(I219&lt;Summary!$L$8,"YES","No")</f>
        <v>No</v>
      </c>
      <c r="L219" s="8" t="str">
        <f aca="false">IF(I219&gt;=Summary!$L$7,"Counted","Not Counted")</f>
        <v>Counted</v>
      </c>
      <c r="M219" s="13" t="n">
        <f aca="false">IF(I219&gt;=Summary!$L$6,20,ROUND(I219/Summary!$L$6*10,1)*2)</f>
        <v>20</v>
      </c>
      <c r="N219" s="35" t="n">
        <f aca="false">20-M219</f>
        <v>0</v>
      </c>
      <c r="O219" s="8" t="str">
        <f aca="false">IF(I219&gt;=Summary!$L$6,"75%+ (all benefits)",IF(I219&gt;=Summary!$L$7,"55–74%",IF(I219&gt;=Summary!$L$8,"30–54%","Below 30%")))</f>
        <v>75%+ (all benefits)</v>
      </c>
    </row>
    <row r="220" customFormat="false" ht="15" hidden="false" customHeight="false" outlineLevel="0" collapsed="false">
      <c r="A220" s="8" t="n">
        <v>215</v>
      </c>
      <c r="B220" s="8" t="s">
        <v>23</v>
      </c>
      <c r="C220" s="8" t="s">
        <v>488</v>
      </c>
      <c r="D220" s="30" t="s">
        <v>489</v>
      </c>
      <c r="E220" s="9" t="n">
        <v>46301</v>
      </c>
      <c r="F220" s="8" t="n">
        <v>327</v>
      </c>
      <c r="G220" s="8" t="n">
        <v>45</v>
      </c>
      <c r="H220" s="8" t="n">
        <v>372</v>
      </c>
      <c r="I220" s="34" t="n">
        <f aca="false">ROUND(F220/H220*100,0)/100</f>
        <v>0.88</v>
      </c>
      <c r="J220" s="8" t="str">
        <f aca="false">IF(I220&gt;=Summary!$L$6,"Eligible","Shortage")</f>
        <v>Eligible</v>
      </c>
      <c r="K220" s="8" t="str">
        <f aca="false">IF(I220&lt;Summary!$L$8,"YES","No")</f>
        <v>No</v>
      </c>
      <c r="L220" s="8" t="str">
        <f aca="false">IF(I220&gt;=Summary!$L$7,"Counted","Not Counted")</f>
        <v>Counted</v>
      </c>
      <c r="M220" s="13" t="n">
        <f aca="false">IF(I220&gt;=Summary!$L$6,20,ROUND(I220/Summary!$L$6*10,1)*2)</f>
        <v>20</v>
      </c>
      <c r="N220" s="35" t="n">
        <f aca="false">20-M220</f>
        <v>0</v>
      </c>
      <c r="O220" s="8" t="str">
        <f aca="false">IF(I220&gt;=Summary!$L$6,"75%+ (all benefits)",IF(I220&gt;=Summary!$L$7,"55–74%",IF(I220&gt;=Summary!$L$8,"30–54%","Below 30%")))</f>
        <v>75%+ (all benefits)</v>
      </c>
    </row>
    <row r="221" customFormat="false" ht="15" hidden="false" customHeight="false" outlineLevel="0" collapsed="false">
      <c r="A221" s="36" t="n">
        <v>216</v>
      </c>
      <c r="B221" s="36" t="s">
        <v>23</v>
      </c>
      <c r="C221" s="36" t="s">
        <v>490</v>
      </c>
      <c r="D221" s="37" t="s">
        <v>491</v>
      </c>
      <c r="E221" s="38" t="n">
        <v>46301</v>
      </c>
      <c r="F221" s="36" t="n">
        <v>281</v>
      </c>
      <c r="G221" s="36" t="n">
        <v>91</v>
      </c>
      <c r="H221" s="36" t="n">
        <v>372</v>
      </c>
      <c r="I221" s="34" t="n">
        <f aca="false">ROUND(F221/H221*100,0)/100</f>
        <v>0.76</v>
      </c>
      <c r="J221" s="8" t="str">
        <f aca="false">IF(I221&gt;=Summary!$L$6,"Eligible","Shortage")</f>
        <v>Eligible</v>
      </c>
      <c r="K221" s="8" t="str">
        <f aca="false">IF(I221&lt;Summary!$L$8,"YES","No")</f>
        <v>No</v>
      </c>
      <c r="L221" s="8" t="str">
        <f aca="false">IF(I221&gt;=Summary!$L$7,"Counted","Not Counted")</f>
        <v>Counted</v>
      </c>
      <c r="M221" s="13" t="n">
        <f aca="false">IF(I221&gt;=Summary!$L$6,20,ROUND(I221/Summary!$L$6*10,1)*2)</f>
        <v>20</v>
      </c>
      <c r="N221" s="35" t="n">
        <f aca="false">20-M221</f>
        <v>0</v>
      </c>
      <c r="O221" s="8" t="str">
        <f aca="false">IF(I221&gt;=Summary!$L$6,"75%+ (all benefits)",IF(I221&gt;=Summary!$L$7,"55–74%",IF(I221&gt;=Summary!$L$8,"30–54%","Below 30%")))</f>
        <v>75%+ (all benefits)</v>
      </c>
    </row>
    <row r="222" customFormat="false" ht="15" hidden="false" customHeight="false" outlineLevel="0" collapsed="false">
      <c r="A222" s="8" t="n">
        <v>217</v>
      </c>
      <c r="B222" s="8" t="s">
        <v>23</v>
      </c>
      <c r="C222" s="8" t="s">
        <v>492</v>
      </c>
      <c r="D222" s="30" t="s">
        <v>493</v>
      </c>
      <c r="E222" s="9" t="n">
        <v>46301</v>
      </c>
      <c r="F222" s="8" t="n">
        <v>282</v>
      </c>
      <c r="G222" s="8" t="n">
        <v>90</v>
      </c>
      <c r="H222" s="8" t="n">
        <v>372</v>
      </c>
      <c r="I222" s="34" t="n">
        <f aca="false">ROUND(F222/H222*100,0)/100</f>
        <v>0.76</v>
      </c>
      <c r="J222" s="8" t="str">
        <f aca="false">IF(I222&gt;=Summary!$L$6,"Eligible","Shortage")</f>
        <v>Eligible</v>
      </c>
      <c r="K222" s="8" t="str">
        <f aca="false">IF(I222&lt;Summary!$L$8,"YES","No")</f>
        <v>No</v>
      </c>
      <c r="L222" s="8" t="str">
        <f aca="false">IF(I222&gt;=Summary!$L$7,"Counted","Not Counted")</f>
        <v>Counted</v>
      </c>
      <c r="M222" s="13" t="n">
        <f aca="false">IF(I222&gt;=Summary!$L$6,20,ROUND(I222/Summary!$L$6*10,1)*2)</f>
        <v>20</v>
      </c>
      <c r="N222" s="35" t="n">
        <f aca="false">20-M222</f>
        <v>0</v>
      </c>
      <c r="O222" s="8" t="str">
        <f aca="false">IF(I222&gt;=Summary!$L$6,"75%+ (all benefits)",IF(I222&gt;=Summary!$L$7,"55–74%",IF(I222&gt;=Summary!$L$8,"30–54%","Below 30%")))</f>
        <v>75%+ (all benefits)</v>
      </c>
    </row>
    <row r="223" customFormat="false" ht="15" hidden="false" customHeight="false" outlineLevel="0" collapsed="false">
      <c r="A223" s="36" t="n">
        <v>218</v>
      </c>
      <c r="B223" s="36" t="s">
        <v>23</v>
      </c>
      <c r="C223" s="36" t="s">
        <v>494</v>
      </c>
      <c r="D223" s="37" t="s">
        <v>495</v>
      </c>
      <c r="E223" s="38" t="n">
        <v>46301</v>
      </c>
      <c r="F223" s="36" t="n">
        <v>302</v>
      </c>
      <c r="G223" s="36" t="n">
        <v>70</v>
      </c>
      <c r="H223" s="36" t="n">
        <v>372</v>
      </c>
      <c r="I223" s="34" t="n">
        <f aca="false">ROUND(F223/H223*100,0)/100</f>
        <v>0.81</v>
      </c>
      <c r="J223" s="8" t="str">
        <f aca="false">IF(I223&gt;=Summary!$L$6,"Eligible","Shortage")</f>
        <v>Eligible</v>
      </c>
      <c r="K223" s="8" t="str">
        <f aca="false">IF(I223&lt;Summary!$L$8,"YES","No")</f>
        <v>No</v>
      </c>
      <c r="L223" s="8" t="str">
        <f aca="false">IF(I223&gt;=Summary!$L$7,"Counted","Not Counted")</f>
        <v>Counted</v>
      </c>
      <c r="M223" s="13" t="n">
        <f aca="false">IF(I223&gt;=Summary!$L$6,20,ROUND(I223/Summary!$L$6*10,1)*2)</f>
        <v>20</v>
      </c>
      <c r="N223" s="35" t="n">
        <f aca="false">20-M223</f>
        <v>0</v>
      </c>
      <c r="O223" s="8" t="str">
        <f aca="false">IF(I223&gt;=Summary!$L$6,"75%+ (all benefits)",IF(I223&gt;=Summary!$L$7,"55–74%",IF(I223&gt;=Summary!$L$8,"30–54%","Below 30%")))</f>
        <v>75%+ (all benefits)</v>
      </c>
    </row>
    <row r="224" customFormat="false" ht="15" hidden="false" customHeight="false" outlineLevel="0" collapsed="false">
      <c r="A224" s="8" t="n">
        <v>219</v>
      </c>
      <c r="B224" s="8" t="s">
        <v>23</v>
      </c>
      <c r="C224" s="8" t="s">
        <v>496</v>
      </c>
      <c r="D224" s="30" t="s">
        <v>497</v>
      </c>
      <c r="E224" s="9" t="n">
        <v>46301</v>
      </c>
      <c r="F224" s="8" t="n">
        <v>187</v>
      </c>
      <c r="G224" s="8" t="n">
        <v>185</v>
      </c>
      <c r="H224" s="8" t="n">
        <v>372</v>
      </c>
      <c r="I224" s="34" t="n">
        <f aca="false">ROUND(F224/H224*100,0)/100</f>
        <v>0.5</v>
      </c>
      <c r="J224" s="8" t="str">
        <f aca="false">IF(I224&gt;=Summary!$L$6,"Eligible","Shortage")</f>
        <v>Shortage</v>
      </c>
      <c r="K224" s="8" t="str">
        <f aca="false">IF(I224&lt;Summary!$L$8,"YES","No")</f>
        <v>No</v>
      </c>
      <c r="L224" s="8" t="str">
        <f aca="false">IF(I224&gt;=Summary!$L$7,"Counted","Not Counted")</f>
        <v>Not Counted</v>
      </c>
      <c r="M224" s="13" t="n">
        <f aca="false">IF(I224&gt;=Summary!$L$6,20,ROUND(I224/Summary!$L$6*10,1)*2)</f>
        <v>13.4</v>
      </c>
      <c r="N224" s="35" t="n">
        <f aca="false">20-M224</f>
        <v>6.6</v>
      </c>
      <c r="O224" s="8" t="str">
        <f aca="false">IF(I224&gt;=Summary!$L$6,"75%+ (all benefits)",IF(I224&gt;=Summary!$L$7,"55–74%",IF(I224&gt;=Summary!$L$8,"30–54%","Below 30%")))</f>
        <v>30–54%</v>
      </c>
    </row>
    <row r="225" customFormat="false" ht="15" hidden="false" customHeight="false" outlineLevel="0" collapsed="false">
      <c r="A225" s="36" t="n">
        <v>220</v>
      </c>
      <c r="B225" s="36" t="s">
        <v>23</v>
      </c>
      <c r="C225" s="36" t="s">
        <v>498</v>
      </c>
      <c r="D225" s="37" t="s">
        <v>499</v>
      </c>
      <c r="E225" s="38" t="n">
        <v>46301</v>
      </c>
      <c r="F225" s="36" t="n">
        <v>247</v>
      </c>
      <c r="G225" s="36" t="n">
        <v>125</v>
      </c>
      <c r="H225" s="36" t="n">
        <v>372</v>
      </c>
      <c r="I225" s="34" t="n">
        <f aca="false">ROUND(F225/H225*100,0)/100</f>
        <v>0.66</v>
      </c>
      <c r="J225" s="8" t="str">
        <f aca="false">IF(I225&gt;=Summary!$L$6,"Eligible","Shortage")</f>
        <v>Shortage</v>
      </c>
      <c r="K225" s="8" t="str">
        <f aca="false">IF(I225&lt;Summary!$L$8,"YES","No")</f>
        <v>No</v>
      </c>
      <c r="L225" s="8" t="str">
        <f aca="false">IF(I225&gt;=Summary!$L$7,"Counted","Not Counted")</f>
        <v>Counted</v>
      </c>
      <c r="M225" s="13" t="n">
        <f aca="false">IF(I225&gt;=Summary!$L$6,20,ROUND(I225/Summary!$L$6*10,1)*2)</f>
        <v>17.6</v>
      </c>
      <c r="N225" s="35" t="n">
        <f aca="false">20-M225</f>
        <v>2.4</v>
      </c>
      <c r="O225" s="8" t="str">
        <f aca="false">IF(I225&gt;=Summary!$L$6,"75%+ (all benefits)",IF(I225&gt;=Summary!$L$7,"55–74%",IF(I225&gt;=Summary!$L$8,"30–54%","Below 30%")))</f>
        <v>55–74%</v>
      </c>
    </row>
    <row r="226" customFormat="false" ht="15" hidden="false" customHeight="false" outlineLevel="0" collapsed="false">
      <c r="A226" s="8" t="n">
        <v>221</v>
      </c>
      <c r="B226" s="8" t="s">
        <v>23</v>
      </c>
      <c r="C226" s="8" t="s">
        <v>500</v>
      </c>
      <c r="D226" s="30" t="s">
        <v>313</v>
      </c>
      <c r="E226" s="9" t="n">
        <v>46301</v>
      </c>
      <c r="F226" s="8" t="n">
        <v>273</v>
      </c>
      <c r="G226" s="8" t="n">
        <v>99</v>
      </c>
      <c r="H226" s="8" t="n">
        <v>372</v>
      </c>
      <c r="I226" s="34" t="n">
        <f aca="false">ROUND(F226/H226*100,0)/100</f>
        <v>0.73</v>
      </c>
      <c r="J226" s="8" t="str">
        <f aca="false">IF(I226&gt;=Summary!$L$6,"Eligible","Shortage")</f>
        <v>Shortage</v>
      </c>
      <c r="K226" s="8" t="str">
        <f aca="false">IF(I226&lt;Summary!$L$8,"YES","No")</f>
        <v>No</v>
      </c>
      <c r="L226" s="8" t="str">
        <f aca="false">IF(I226&gt;=Summary!$L$7,"Counted","Not Counted")</f>
        <v>Counted</v>
      </c>
      <c r="M226" s="13" t="n">
        <f aca="false">IF(I226&gt;=Summary!$L$6,20,ROUND(I226/Summary!$L$6*10,1)*2)</f>
        <v>19.4</v>
      </c>
      <c r="N226" s="35" t="n">
        <f aca="false">20-M226</f>
        <v>0.600000000000001</v>
      </c>
      <c r="O226" s="8" t="str">
        <f aca="false">IF(I226&gt;=Summary!$L$6,"75%+ (all benefits)",IF(I226&gt;=Summary!$L$7,"55–74%",IF(I226&gt;=Summary!$L$8,"30–54%","Below 30%")))</f>
        <v>55–74%</v>
      </c>
    </row>
    <row r="227" customFormat="false" ht="15" hidden="false" customHeight="false" outlineLevel="0" collapsed="false">
      <c r="A227" s="36" t="n">
        <v>222</v>
      </c>
      <c r="B227" s="36" t="s">
        <v>23</v>
      </c>
      <c r="C227" s="36" t="s">
        <v>501</v>
      </c>
      <c r="D227" s="37" t="s">
        <v>502</v>
      </c>
      <c r="E227" s="38" t="n">
        <v>46301</v>
      </c>
      <c r="F227" s="36" t="n">
        <v>242</v>
      </c>
      <c r="G227" s="36" t="n">
        <v>130</v>
      </c>
      <c r="H227" s="36" t="n">
        <v>372</v>
      </c>
      <c r="I227" s="34" t="n">
        <f aca="false">ROUND(F227/H227*100,0)/100</f>
        <v>0.65</v>
      </c>
      <c r="J227" s="8" t="str">
        <f aca="false">IF(I227&gt;=Summary!$L$6,"Eligible","Shortage")</f>
        <v>Shortage</v>
      </c>
      <c r="K227" s="8" t="str">
        <f aca="false">IF(I227&lt;Summary!$L$8,"YES","No")</f>
        <v>No</v>
      </c>
      <c r="L227" s="8" t="str">
        <f aca="false">IF(I227&gt;=Summary!$L$7,"Counted","Not Counted")</f>
        <v>Counted</v>
      </c>
      <c r="M227" s="13" t="n">
        <f aca="false">IF(I227&gt;=Summary!$L$6,20,ROUND(I227/Summary!$L$6*10,1)*2)</f>
        <v>17.4</v>
      </c>
      <c r="N227" s="35" t="n">
        <f aca="false">20-M227</f>
        <v>2.6</v>
      </c>
      <c r="O227" s="8" t="str">
        <f aca="false">IF(I227&gt;=Summary!$L$6,"75%+ (all benefits)",IF(I227&gt;=Summary!$L$7,"55–74%",IF(I227&gt;=Summary!$L$8,"30–54%","Below 30%")))</f>
        <v>55–74%</v>
      </c>
    </row>
    <row r="228" customFormat="false" ht="15" hidden="false" customHeight="false" outlineLevel="0" collapsed="false">
      <c r="A228" s="8" t="n">
        <v>223</v>
      </c>
      <c r="B228" s="8" t="s">
        <v>23</v>
      </c>
      <c r="C228" s="8" t="s">
        <v>503</v>
      </c>
      <c r="D228" s="30" t="s">
        <v>504</v>
      </c>
      <c r="E228" s="9" t="n">
        <v>46301</v>
      </c>
      <c r="F228" s="8" t="n">
        <v>191</v>
      </c>
      <c r="G228" s="8" t="n">
        <v>181</v>
      </c>
      <c r="H228" s="8" t="n">
        <v>372</v>
      </c>
      <c r="I228" s="34" t="n">
        <f aca="false">ROUND(F228/H228*100,0)/100</f>
        <v>0.51</v>
      </c>
      <c r="J228" s="8" t="str">
        <f aca="false">IF(I228&gt;=Summary!$L$6,"Eligible","Shortage")</f>
        <v>Shortage</v>
      </c>
      <c r="K228" s="8" t="str">
        <f aca="false">IF(I228&lt;Summary!$L$8,"YES","No")</f>
        <v>No</v>
      </c>
      <c r="L228" s="8" t="str">
        <f aca="false">IF(I228&gt;=Summary!$L$7,"Counted","Not Counted")</f>
        <v>Not Counted</v>
      </c>
      <c r="M228" s="13" t="n">
        <f aca="false">IF(I228&gt;=Summary!$L$6,20,ROUND(I228/Summary!$L$6*10,1)*2)</f>
        <v>13.6</v>
      </c>
      <c r="N228" s="35" t="n">
        <f aca="false">20-M228</f>
        <v>6.4</v>
      </c>
      <c r="O228" s="8" t="str">
        <f aca="false">IF(I228&gt;=Summary!$L$6,"75%+ (all benefits)",IF(I228&gt;=Summary!$L$7,"55–74%",IF(I228&gt;=Summary!$L$8,"30–54%","Below 30%")))</f>
        <v>30–54%</v>
      </c>
    </row>
    <row r="229" customFormat="false" ht="15" hidden="false" customHeight="false" outlineLevel="0" collapsed="false">
      <c r="A229" s="36" t="n">
        <v>224</v>
      </c>
      <c r="B229" s="36" t="s">
        <v>23</v>
      </c>
      <c r="C229" s="36" t="s">
        <v>505</v>
      </c>
      <c r="D229" s="37" t="s">
        <v>506</v>
      </c>
      <c r="E229" s="38" t="n">
        <v>46301</v>
      </c>
      <c r="F229" s="36" t="n">
        <v>315</v>
      </c>
      <c r="G229" s="36" t="n">
        <v>57</v>
      </c>
      <c r="H229" s="36" t="n">
        <v>372</v>
      </c>
      <c r="I229" s="34" t="n">
        <f aca="false">ROUND(F229/H229*100,0)/100</f>
        <v>0.85</v>
      </c>
      <c r="J229" s="8" t="str">
        <f aca="false">IF(I229&gt;=Summary!$L$6,"Eligible","Shortage")</f>
        <v>Eligible</v>
      </c>
      <c r="K229" s="8" t="str">
        <f aca="false">IF(I229&lt;Summary!$L$8,"YES","No")</f>
        <v>No</v>
      </c>
      <c r="L229" s="8" t="str">
        <f aca="false">IF(I229&gt;=Summary!$L$7,"Counted","Not Counted")</f>
        <v>Counted</v>
      </c>
      <c r="M229" s="13" t="n">
        <f aca="false">IF(I229&gt;=Summary!$L$6,20,ROUND(I229/Summary!$L$6*10,1)*2)</f>
        <v>20</v>
      </c>
      <c r="N229" s="35" t="n">
        <f aca="false">20-M229</f>
        <v>0</v>
      </c>
      <c r="O229" s="8" t="str">
        <f aca="false">IF(I229&gt;=Summary!$L$6,"75%+ (all benefits)",IF(I229&gt;=Summary!$L$7,"55–74%",IF(I229&gt;=Summary!$L$8,"30–54%","Below 30%")))</f>
        <v>75%+ (all benefits)</v>
      </c>
    </row>
    <row r="230" customFormat="false" ht="15" hidden="false" customHeight="false" outlineLevel="0" collapsed="false">
      <c r="A230" s="8" t="n">
        <v>225</v>
      </c>
      <c r="B230" s="8" t="s">
        <v>23</v>
      </c>
      <c r="C230" s="8" t="s">
        <v>507</v>
      </c>
      <c r="D230" s="30" t="s">
        <v>508</v>
      </c>
      <c r="E230" s="9" t="n">
        <v>46301</v>
      </c>
      <c r="F230" s="8" t="n">
        <v>285</v>
      </c>
      <c r="G230" s="8" t="n">
        <v>87</v>
      </c>
      <c r="H230" s="8" t="n">
        <v>372</v>
      </c>
      <c r="I230" s="34" t="n">
        <f aca="false">ROUND(F230/H230*100,0)/100</f>
        <v>0.77</v>
      </c>
      <c r="J230" s="8" t="str">
        <f aca="false">IF(I230&gt;=Summary!$L$6,"Eligible","Shortage")</f>
        <v>Eligible</v>
      </c>
      <c r="K230" s="8" t="str">
        <f aca="false">IF(I230&lt;Summary!$L$8,"YES","No")</f>
        <v>No</v>
      </c>
      <c r="L230" s="8" t="str">
        <f aca="false">IF(I230&gt;=Summary!$L$7,"Counted","Not Counted")</f>
        <v>Counted</v>
      </c>
      <c r="M230" s="13" t="n">
        <f aca="false">IF(I230&gt;=Summary!$L$6,20,ROUND(I230/Summary!$L$6*10,1)*2)</f>
        <v>20</v>
      </c>
      <c r="N230" s="35" t="n">
        <f aca="false">20-M230</f>
        <v>0</v>
      </c>
      <c r="O230" s="8" t="str">
        <f aca="false">IF(I230&gt;=Summary!$L$6,"75%+ (all benefits)",IF(I230&gt;=Summary!$L$7,"55–74%",IF(I230&gt;=Summary!$L$8,"30–54%","Below 30%")))</f>
        <v>75%+ (all benefits)</v>
      </c>
    </row>
    <row r="231" customFormat="false" ht="15" hidden="false" customHeight="false" outlineLevel="0" collapsed="false">
      <c r="A231" s="36" t="n">
        <v>226</v>
      </c>
      <c r="B231" s="36" t="s">
        <v>23</v>
      </c>
      <c r="C231" s="36" t="s">
        <v>509</v>
      </c>
      <c r="D231" s="37" t="s">
        <v>510</v>
      </c>
      <c r="E231" s="38" t="n">
        <v>46301</v>
      </c>
      <c r="F231" s="36" t="n">
        <v>254</v>
      </c>
      <c r="G231" s="36" t="n">
        <v>118</v>
      </c>
      <c r="H231" s="36" t="n">
        <v>372</v>
      </c>
      <c r="I231" s="34" t="n">
        <f aca="false">ROUND(F231/H231*100,0)/100</f>
        <v>0.68</v>
      </c>
      <c r="J231" s="8" t="str">
        <f aca="false">IF(I231&gt;=Summary!$L$6,"Eligible","Shortage")</f>
        <v>Shortage</v>
      </c>
      <c r="K231" s="8" t="str">
        <f aca="false">IF(I231&lt;Summary!$L$8,"YES","No")</f>
        <v>No</v>
      </c>
      <c r="L231" s="8" t="str">
        <f aca="false">IF(I231&gt;=Summary!$L$7,"Counted","Not Counted")</f>
        <v>Counted</v>
      </c>
      <c r="M231" s="13" t="n">
        <f aca="false">IF(I231&gt;=Summary!$L$6,20,ROUND(I231/Summary!$L$6*10,1)*2)</f>
        <v>18.2</v>
      </c>
      <c r="N231" s="35" t="n">
        <f aca="false">20-M231</f>
        <v>1.8</v>
      </c>
      <c r="O231" s="8" t="str">
        <f aca="false">IF(I231&gt;=Summary!$L$6,"75%+ (all benefits)",IF(I231&gt;=Summary!$L$7,"55–74%",IF(I231&gt;=Summary!$L$8,"30–54%","Below 30%")))</f>
        <v>55–74%</v>
      </c>
    </row>
    <row r="232" customFormat="false" ht="15" hidden="false" customHeight="false" outlineLevel="0" collapsed="false">
      <c r="A232" s="8" t="n">
        <v>227</v>
      </c>
      <c r="B232" s="8" t="s">
        <v>23</v>
      </c>
      <c r="C232" s="8" t="s">
        <v>511</v>
      </c>
      <c r="D232" s="30" t="s">
        <v>512</v>
      </c>
      <c r="E232" s="9" t="n">
        <v>46301</v>
      </c>
      <c r="F232" s="8" t="n">
        <v>281</v>
      </c>
      <c r="G232" s="8" t="n">
        <v>91</v>
      </c>
      <c r="H232" s="8" t="n">
        <v>372</v>
      </c>
      <c r="I232" s="34" t="n">
        <f aca="false">ROUND(F232/H232*100,0)/100</f>
        <v>0.76</v>
      </c>
      <c r="J232" s="8" t="str">
        <f aca="false">IF(I232&gt;=Summary!$L$6,"Eligible","Shortage")</f>
        <v>Eligible</v>
      </c>
      <c r="K232" s="8" t="str">
        <f aca="false">IF(I232&lt;Summary!$L$8,"YES","No")</f>
        <v>No</v>
      </c>
      <c r="L232" s="8" t="str">
        <f aca="false">IF(I232&gt;=Summary!$L$7,"Counted","Not Counted")</f>
        <v>Counted</v>
      </c>
      <c r="M232" s="13" t="n">
        <f aca="false">IF(I232&gt;=Summary!$L$6,20,ROUND(I232/Summary!$L$6*10,1)*2)</f>
        <v>20</v>
      </c>
      <c r="N232" s="35" t="n">
        <f aca="false">20-M232</f>
        <v>0</v>
      </c>
      <c r="O232" s="8" t="str">
        <f aca="false">IF(I232&gt;=Summary!$L$6,"75%+ (all benefits)",IF(I232&gt;=Summary!$L$7,"55–74%",IF(I232&gt;=Summary!$L$8,"30–54%","Below 30%")))</f>
        <v>75%+ (all benefits)</v>
      </c>
    </row>
    <row r="233" customFormat="false" ht="15" hidden="false" customHeight="false" outlineLevel="0" collapsed="false">
      <c r="A233" s="36" t="n">
        <v>228</v>
      </c>
      <c r="B233" s="36" t="s">
        <v>23</v>
      </c>
      <c r="C233" s="36" t="s">
        <v>513</v>
      </c>
      <c r="D233" s="37" t="s">
        <v>514</v>
      </c>
      <c r="E233" s="38" t="n">
        <v>46301</v>
      </c>
      <c r="F233" s="36" t="n">
        <v>298</v>
      </c>
      <c r="G233" s="36" t="n">
        <v>74</v>
      </c>
      <c r="H233" s="36" t="n">
        <v>372</v>
      </c>
      <c r="I233" s="34" t="n">
        <f aca="false">ROUND(F233/H233*100,0)/100</f>
        <v>0.8</v>
      </c>
      <c r="J233" s="8" t="str">
        <f aca="false">IF(I233&gt;=Summary!$L$6,"Eligible","Shortage")</f>
        <v>Eligible</v>
      </c>
      <c r="K233" s="8" t="str">
        <f aca="false">IF(I233&lt;Summary!$L$8,"YES","No")</f>
        <v>No</v>
      </c>
      <c r="L233" s="8" t="str">
        <f aca="false">IF(I233&gt;=Summary!$L$7,"Counted","Not Counted")</f>
        <v>Counted</v>
      </c>
      <c r="M233" s="13" t="n">
        <f aca="false">IF(I233&gt;=Summary!$L$6,20,ROUND(I233/Summary!$L$6*10,1)*2)</f>
        <v>20</v>
      </c>
      <c r="N233" s="35" t="n">
        <f aca="false">20-M233</f>
        <v>0</v>
      </c>
      <c r="O233" s="8" t="str">
        <f aca="false">IF(I233&gt;=Summary!$L$6,"75%+ (all benefits)",IF(I233&gt;=Summary!$L$7,"55–74%",IF(I233&gt;=Summary!$L$8,"30–54%","Below 30%")))</f>
        <v>75%+ (all benefits)</v>
      </c>
    </row>
    <row r="234" customFormat="false" ht="15" hidden="false" customHeight="false" outlineLevel="0" collapsed="false">
      <c r="A234" s="8" t="n">
        <v>229</v>
      </c>
      <c r="B234" s="8" t="s">
        <v>23</v>
      </c>
      <c r="C234" s="8" t="s">
        <v>515</v>
      </c>
      <c r="D234" s="30" t="s">
        <v>516</v>
      </c>
      <c r="E234" s="9" t="n">
        <v>46301</v>
      </c>
      <c r="F234" s="8" t="n">
        <v>314</v>
      </c>
      <c r="G234" s="8" t="n">
        <v>58</v>
      </c>
      <c r="H234" s="8" t="n">
        <v>372</v>
      </c>
      <c r="I234" s="34" t="n">
        <f aca="false">ROUND(F234/H234*100,0)/100</f>
        <v>0.84</v>
      </c>
      <c r="J234" s="8" t="str">
        <f aca="false">IF(I234&gt;=Summary!$L$6,"Eligible","Shortage")</f>
        <v>Eligible</v>
      </c>
      <c r="K234" s="8" t="str">
        <f aca="false">IF(I234&lt;Summary!$L$8,"YES","No")</f>
        <v>No</v>
      </c>
      <c r="L234" s="8" t="str">
        <f aca="false">IF(I234&gt;=Summary!$L$7,"Counted","Not Counted")</f>
        <v>Counted</v>
      </c>
      <c r="M234" s="13" t="n">
        <f aca="false">IF(I234&gt;=Summary!$L$6,20,ROUND(I234/Summary!$L$6*10,1)*2)</f>
        <v>20</v>
      </c>
      <c r="N234" s="35" t="n">
        <f aca="false">20-M234</f>
        <v>0</v>
      </c>
      <c r="O234" s="8" t="str">
        <f aca="false">IF(I234&gt;=Summary!$L$6,"75%+ (all benefits)",IF(I234&gt;=Summary!$L$7,"55–74%",IF(I234&gt;=Summary!$L$8,"30–54%","Below 30%")))</f>
        <v>75%+ (all benefits)</v>
      </c>
    </row>
    <row r="235" customFormat="false" ht="15" hidden="false" customHeight="false" outlineLevel="0" collapsed="false">
      <c r="A235" s="36" t="n">
        <v>230</v>
      </c>
      <c r="B235" s="36" t="s">
        <v>23</v>
      </c>
      <c r="C235" s="36" t="s">
        <v>517</v>
      </c>
      <c r="D235" s="37" t="s">
        <v>518</v>
      </c>
      <c r="E235" s="38" t="n">
        <v>46301</v>
      </c>
      <c r="F235" s="36" t="n">
        <v>266</v>
      </c>
      <c r="G235" s="36" t="n">
        <v>106</v>
      </c>
      <c r="H235" s="36" t="n">
        <v>372</v>
      </c>
      <c r="I235" s="34" t="n">
        <f aca="false">ROUND(F235/H235*100,0)/100</f>
        <v>0.72</v>
      </c>
      <c r="J235" s="8" t="str">
        <f aca="false">IF(I235&gt;=Summary!$L$6,"Eligible","Shortage")</f>
        <v>Shortage</v>
      </c>
      <c r="K235" s="8" t="str">
        <f aca="false">IF(I235&lt;Summary!$L$8,"YES","No")</f>
        <v>No</v>
      </c>
      <c r="L235" s="8" t="str">
        <f aca="false">IF(I235&gt;=Summary!$L$7,"Counted","Not Counted")</f>
        <v>Counted</v>
      </c>
      <c r="M235" s="13" t="n">
        <f aca="false">IF(I235&gt;=Summary!$L$6,20,ROUND(I235/Summary!$L$6*10,1)*2)</f>
        <v>19.2</v>
      </c>
      <c r="N235" s="35" t="n">
        <f aca="false">20-M235</f>
        <v>0.800000000000001</v>
      </c>
      <c r="O235" s="8" t="str">
        <f aca="false">IF(I235&gt;=Summary!$L$6,"75%+ (all benefits)",IF(I235&gt;=Summary!$L$7,"55–74%",IF(I235&gt;=Summary!$L$8,"30–54%","Below 30%")))</f>
        <v>55–74%</v>
      </c>
    </row>
    <row r="236" customFormat="false" ht="15" hidden="false" customHeight="false" outlineLevel="0" collapsed="false">
      <c r="A236" s="8" t="n">
        <v>231</v>
      </c>
      <c r="B236" s="8" t="s">
        <v>23</v>
      </c>
      <c r="C236" s="8" t="s">
        <v>519</v>
      </c>
      <c r="D236" s="30" t="s">
        <v>520</v>
      </c>
      <c r="E236" s="9" t="n">
        <v>46301</v>
      </c>
      <c r="F236" s="8" t="n">
        <v>208</v>
      </c>
      <c r="G236" s="8" t="n">
        <v>164</v>
      </c>
      <c r="H236" s="8" t="n">
        <v>372</v>
      </c>
      <c r="I236" s="34" t="n">
        <f aca="false">ROUND(F236/H236*100,0)/100</f>
        <v>0.56</v>
      </c>
      <c r="J236" s="8" t="str">
        <f aca="false">IF(I236&gt;=Summary!$L$6,"Eligible","Shortage")</f>
        <v>Shortage</v>
      </c>
      <c r="K236" s="8" t="str">
        <f aca="false">IF(I236&lt;Summary!$L$8,"YES","No")</f>
        <v>No</v>
      </c>
      <c r="L236" s="8" t="str">
        <f aca="false">IF(I236&gt;=Summary!$L$7,"Counted","Not Counted")</f>
        <v>Counted</v>
      </c>
      <c r="M236" s="13" t="n">
        <f aca="false">IF(I236&gt;=Summary!$L$6,20,ROUND(I236/Summary!$L$6*10,1)*2)</f>
        <v>15</v>
      </c>
      <c r="N236" s="35" t="n">
        <f aca="false">20-M236</f>
        <v>5</v>
      </c>
      <c r="O236" s="8" t="str">
        <f aca="false">IF(I236&gt;=Summary!$L$6,"75%+ (all benefits)",IF(I236&gt;=Summary!$L$7,"55–74%",IF(I236&gt;=Summary!$L$8,"30–54%","Below 30%")))</f>
        <v>55–74%</v>
      </c>
    </row>
    <row r="237" customFormat="false" ht="15" hidden="false" customHeight="false" outlineLevel="0" collapsed="false">
      <c r="A237" s="36" t="n">
        <v>232</v>
      </c>
      <c r="B237" s="36" t="s">
        <v>23</v>
      </c>
      <c r="C237" s="36" t="s">
        <v>521</v>
      </c>
      <c r="D237" s="37" t="s">
        <v>522</v>
      </c>
      <c r="E237" s="38" t="n">
        <v>46301</v>
      </c>
      <c r="F237" s="36" t="n">
        <v>284</v>
      </c>
      <c r="G237" s="36" t="n">
        <v>88</v>
      </c>
      <c r="H237" s="36" t="n">
        <v>372</v>
      </c>
      <c r="I237" s="34" t="n">
        <f aca="false">ROUND(F237/H237*100,0)/100</f>
        <v>0.76</v>
      </c>
      <c r="J237" s="8" t="str">
        <f aca="false">IF(I237&gt;=Summary!$L$6,"Eligible","Shortage")</f>
        <v>Eligible</v>
      </c>
      <c r="K237" s="8" t="str">
        <f aca="false">IF(I237&lt;Summary!$L$8,"YES","No")</f>
        <v>No</v>
      </c>
      <c r="L237" s="8" t="str">
        <f aca="false">IF(I237&gt;=Summary!$L$7,"Counted","Not Counted")</f>
        <v>Counted</v>
      </c>
      <c r="M237" s="13" t="n">
        <f aca="false">IF(I237&gt;=Summary!$L$6,20,ROUND(I237/Summary!$L$6*10,1)*2)</f>
        <v>20</v>
      </c>
      <c r="N237" s="35" t="n">
        <f aca="false">20-M237</f>
        <v>0</v>
      </c>
      <c r="O237" s="8" t="str">
        <f aca="false">IF(I237&gt;=Summary!$L$6,"75%+ (all benefits)",IF(I237&gt;=Summary!$L$7,"55–74%",IF(I237&gt;=Summary!$L$8,"30–54%","Below 30%")))</f>
        <v>75%+ (all benefits)</v>
      </c>
    </row>
    <row r="238" customFormat="false" ht="15" hidden="false" customHeight="false" outlineLevel="0" collapsed="false">
      <c r="A238" s="8" t="n">
        <v>233</v>
      </c>
      <c r="B238" s="8" t="s">
        <v>23</v>
      </c>
      <c r="C238" s="8" t="s">
        <v>523</v>
      </c>
      <c r="D238" s="30" t="s">
        <v>524</v>
      </c>
      <c r="E238" s="9" t="n">
        <v>46301</v>
      </c>
      <c r="F238" s="8" t="n">
        <v>282</v>
      </c>
      <c r="G238" s="8" t="n">
        <v>90</v>
      </c>
      <c r="H238" s="8" t="n">
        <v>372</v>
      </c>
      <c r="I238" s="34" t="n">
        <f aca="false">ROUND(F238/H238*100,0)/100</f>
        <v>0.76</v>
      </c>
      <c r="J238" s="8" t="str">
        <f aca="false">IF(I238&gt;=Summary!$L$6,"Eligible","Shortage")</f>
        <v>Eligible</v>
      </c>
      <c r="K238" s="8" t="str">
        <f aca="false">IF(I238&lt;Summary!$L$8,"YES","No")</f>
        <v>No</v>
      </c>
      <c r="L238" s="8" t="str">
        <f aca="false">IF(I238&gt;=Summary!$L$7,"Counted","Not Counted")</f>
        <v>Counted</v>
      </c>
      <c r="M238" s="13" t="n">
        <f aca="false">IF(I238&gt;=Summary!$L$6,20,ROUND(I238/Summary!$L$6*10,1)*2)</f>
        <v>20</v>
      </c>
      <c r="N238" s="35" t="n">
        <f aca="false">20-M238</f>
        <v>0</v>
      </c>
      <c r="O238" s="8" t="str">
        <f aca="false">IF(I238&gt;=Summary!$L$6,"75%+ (all benefits)",IF(I238&gt;=Summary!$L$7,"55–74%",IF(I238&gt;=Summary!$L$8,"30–54%","Below 30%")))</f>
        <v>75%+ (all benefits)</v>
      </c>
    </row>
    <row r="239" customFormat="false" ht="15" hidden="false" customHeight="false" outlineLevel="0" collapsed="false">
      <c r="A239" s="36" t="n">
        <v>234</v>
      </c>
      <c r="B239" s="36" t="s">
        <v>23</v>
      </c>
      <c r="C239" s="36" t="s">
        <v>525</v>
      </c>
      <c r="D239" s="37" t="s">
        <v>526</v>
      </c>
      <c r="E239" s="38" t="n">
        <v>46301</v>
      </c>
      <c r="F239" s="36" t="n">
        <v>306</v>
      </c>
      <c r="G239" s="36" t="n">
        <v>66</v>
      </c>
      <c r="H239" s="36" t="n">
        <v>372</v>
      </c>
      <c r="I239" s="34" t="n">
        <f aca="false">ROUND(F239/H239*100,0)/100</f>
        <v>0.82</v>
      </c>
      <c r="J239" s="8" t="str">
        <f aca="false">IF(I239&gt;=Summary!$L$6,"Eligible","Shortage")</f>
        <v>Eligible</v>
      </c>
      <c r="K239" s="8" t="str">
        <f aca="false">IF(I239&lt;Summary!$L$8,"YES","No")</f>
        <v>No</v>
      </c>
      <c r="L239" s="8" t="str">
        <f aca="false">IF(I239&gt;=Summary!$L$7,"Counted","Not Counted")</f>
        <v>Counted</v>
      </c>
      <c r="M239" s="13" t="n">
        <f aca="false">IF(I239&gt;=Summary!$L$6,20,ROUND(I239/Summary!$L$6*10,1)*2)</f>
        <v>20</v>
      </c>
      <c r="N239" s="35" t="n">
        <f aca="false">20-M239</f>
        <v>0</v>
      </c>
      <c r="O239" s="8" t="str">
        <f aca="false">IF(I239&gt;=Summary!$L$6,"75%+ (all benefits)",IF(I239&gt;=Summary!$L$7,"55–74%",IF(I239&gt;=Summary!$L$8,"30–54%","Below 30%")))</f>
        <v>75%+ (all benefits)</v>
      </c>
    </row>
    <row r="240" customFormat="false" ht="15" hidden="false" customHeight="false" outlineLevel="0" collapsed="false">
      <c r="A240" s="8" t="n">
        <v>235</v>
      </c>
      <c r="B240" s="8" t="s">
        <v>23</v>
      </c>
      <c r="C240" s="8" t="s">
        <v>527</v>
      </c>
      <c r="D240" s="30" t="s">
        <v>528</v>
      </c>
      <c r="E240" s="9" t="n">
        <v>46301</v>
      </c>
      <c r="F240" s="8" t="n">
        <v>263</v>
      </c>
      <c r="G240" s="8" t="n">
        <v>109</v>
      </c>
      <c r="H240" s="8" t="n">
        <v>372</v>
      </c>
      <c r="I240" s="34" t="n">
        <f aca="false">ROUND(F240/H240*100,0)/100</f>
        <v>0.71</v>
      </c>
      <c r="J240" s="8" t="str">
        <f aca="false">IF(I240&gt;=Summary!$L$6,"Eligible","Shortage")</f>
        <v>Shortage</v>
      </c>
      <c r="K240" s="8" t="str">
        <f aca="false">IF(I240&lt;Summary!$L$8,"YES","No")</f>
        <v>No</v>
      </c>
      <c r="L240" s="8" t="str">
        <f aca="false">IF(I240&gt;=Summary!$L$7,"Counted","Not Counted")</f>
        <v>Counted</v>
      </c>
      <c r="M240" s="13" t="n">
        <f aca="false">IF(I240&gt;=Summary!$L$6,20,ROUND(I240/Summary!$L$6*10,1)*2)</f>
        <v>19</v>
      </c>
      <c r="N240" s="35" t="n">
        <f aca="false">20-M240</f>
        <v>1</v>
      </c>
      <c r="O240" s="8" t="str">
        <f aca="false">IF(I240&gt;=Summary!$L$6,"75%+ (all benefits)",IF(I240&gt;=Summary!$L$7,"55–74%",IF(I240&gt;=Summary!$L$8,"30–54%","Below 30%")))</f>
        <v>55–74%</v>
      </c>
    </row>
    <row r="241" customFormat="false" ht="15" hidden="false" customHeight="false" outlineLevel="0" collapsed="false">
      <c r="A241" s="36" t="n">
        <v>236</v>
      </c>
      <c r="B241" s="36" t="s">
        <v>23</v>
      </c>
      <c r="C241" s="36" t="s">
        <v>63</v>
      </c>
      <c r="D241" s="37" t="s">
        <v>64</v>
      </c>
      <c r="E241" s="38" t="n">
        <v>46301</v>
      </c>
      <c r="F241" s="36" t="n">
        <v>62</v>
      </c>
      <c r="G241" s="36" t="n">
        <v>310</v>
      </c>
      <c r="H241" s="36" t="n">
        <v>372</v>
      </c>
      <c r="I241" s="34" t="n">
        <f aca="false">ROUND(F241/H241*100,0)/100</f>
        <v>0.17</v>
      </c>
      <c r="J241" s="8" t="str">
        <f aca="false">IF(I241&gt;=Summary!$L$6,"Eligible","Shortage")</f>
        <v>Shortage</v>
      </c>
      <c r="K241" s="8" t="str">
        <f aca="false">IF(I241&lt;Summary!$L$8,"YES","No")</f>
        <v>YES</v>
      </c>
      <c r="L241" s="8" t="str">
        <f aca="false">IF(I241&gt;=Summary!$L$7,"Counted","Not Counted")</f>
        <v>Not Counted</v>
      </c>
      <c r="M241" s="13" t="n">
        <f aca="false">IF(I241&gt;=Summary!$L$6,20,ROUND(I241/Summary!$L$6*10,1)*2)</f>
        <v>4.6</v>
      </c>
      <c r="N241" s="35" t="n">
        <f aca="false">20-M241</f>
        <v>15.4</v>
      </c>
      <c r="O241" s="8" t="str">
        <f aca="false">IF(I241&gt;=Summary!$L$6,"75%+ (all benefits)",IF(I241&gt;=Summary!$L$7,"55–74%",IF(I241&gt;=Summary!$L$8,"30–54%","Below 30%")))</f>
        <v>Below 30%</v>
      </c>
    </row>
    <row r="242" customFormat="false" ht="15" hidden="false" customHeight="false" outlineLevel="0" collapsed="false">
      <c r="A242" s="8" t="n">
        <v>237</v>
      </c>
      <c r="B242" s="8" t="s">
        <v>23</v>
      </c>
      <c r="C242" s="8" t="s">
        <v>529</v>
      </c>
      <c r="D242" s="30" t="s">
        <v>530</v>
      </c>
      <c r="E242" s="9" t="n">
        <v>46301</v>
      </c>
      <c r="F242" s="8" t="n">
        <v>317</v>
      </c>
      <c r="G242" s="8" t="n">
        <v>55</v>
      </c>
      <c r="H242" s="8" t="n">
        <v>372</v>
      </c>
      <c r="I242" s="34" t="n">
        <f aca="false">ROUND(F242/H242*100,0)/100</f>
        <v>0.85</v>
      </c>
      <c r="J242" s="8" t="str">
        <f aca="false">IF(I242&gt;=Summary!$L$6,"Eligible","Shortage")</f>
        <v>Eligible</v>
      </c>
      <c r="K242" s="8" t="str">
        <f aca="false">IF(I242&lt;Summary!$L$8,"YES","No")</f>
        <v>No</v>
      </c>
      <c r="L242" s="8" t="str">
        <f aca="false">IF(I242&gt;=Summary!$L$7,"Counted","Not Counted")</f>
        <v>Counted</v>
      </c>
      <c r="M242" s="13" t="n">
        <f aca="false">IF(I242&gt;=Summary!$L$6,20,ROUND(I242/Summary!$L$6*10,1)*2)</f>
        <v>20</v>
      </c>
      <c r="N242" s="35" t="n">
        <f aca="false">20-M242</f>
        <v>0</v>
      </c>
      <c r="O242" s="8" t="str">
        <f aca="false">IF(I242&gt;=Summary!$L$6,"75%+ (all benefits)",IF(I242&gt;=Summary!$L$7,"55–74%",IF(I242&gt;=Summary!$L$8,"30–54%","Below 30%")))</f>
        <v>75%+ (all benefits)</v>
      </c>
    </row>
    <row r="243" customFormat="false" ht="15" hidden="false" customHeight="false" outlineLevel="0" collapsed="false">
      <c r="A243" s="36" t="n">
        <v>238</v>
      </c>
      <c r="B243" s="36" t="s">
        <v>23</v>
      </c>
      <c r="C243" s="36" t="s">
        <v>531</v>
      </c>
      <c r="D243" s="37" t="s">
        <v>532</v>
      </c>
      <c r="E243" s="38" t="n">
        <v>46301</v>
      </c>
      <c r="F243" s="36" t="n">
        <v>256</v>
      </c>
      <c r="G243" s="36" t="n">
        <v>116</v>
      </c>
      <c r="H243" s="36" t="n">
        <v>372</v>
      </c>
      <c r="I243" s="34" t="n">
        <f aca="false">ROUND(F243/H243*100,0)/100</f>
        <v>0.69</v>
      </c>
      <c r="J243" s="8" t="str">
        <f aca="false">IF(I243&gt;=Summary!$L$6,"Eligible","Shortage")</f>
        <v>Shortage</v>
      </c>
      <c r="K243" s="8" t="str">
        <f aca="false">IF(I243&lt;Summary!$L$8,"YES","No")</f>
        <v>No</v>
      </c>
      <c r="L243" s="8" t="str">
        <f aca="false">IF(I243&gt;=Summary!$L$7,"Counted","Not Counted")</f>
        <v>Counted</v>
      </c>
      <c r="M243" s="13" t="n">
        <f aca="false">IF(I243&gt;=Summary!$L$6,20,ROUND(I243/Summary!$L$6*10,1)*2)</f>
        <v>18.4</v>
      </c>
      <c r="N243" s="35" t="n">
        <f aca="false">20-M243</f>
        <v>1.6</v>
      </c>
      <c r="O243" s="8" t="str">
        <f aca="false">IF(I243&gt;=Summary!$L$6,"75%+ (all benefits)",IF(I243&gt;=Summary!$L$7,"55–74%",IF(I243&gt;=Summary!$L$8,"30–54%","Below 30%")))</f>
        <v>55–74%</v>
      </c>
    </row>
    <row r="244" customFormat="false" ht="15" hidden="false" customHeight="false" outlineLevel="0" collapsed="false">
      <c r="A244" s="8" t="n">
        <v>239</v>
      </c>
      <c r="B244" s="8" t="s">
        <v>23</v>
      </c>
      <c r="C244" s="8" t="s">
        <v>533</v>
      </c>
      <c r="D244" s="30" t="s">
        <v>534</v>
      </c>
      <c r="E244" s="9" t="n">
        <v>46301</v>
      </c>
      <c r="F244" s="8" t="n">
        <v>202</v>
      </c>
      <c r="G244" s="8" t="n">
        <v>170</v>
      </c>
      <c r="H244" s="8" t="n">
        <v>372</v>
      </c>
      <c r="I244" s="34" t="n">
        <f aca="false">ROUND(F244/H244*100,0)/100</f>
        <v>0.54</v>
      </c>
      <c r="J244" s="8" t="str">
        <f aca="false">IF(I244&gt;=Summary!$L$6,"Eligible","Shortage")</f>
        <v>Shortage</v>
      </c>
      <c r="K244" s="8" t="str">
        <f aca="false">IF(I244&lt;Summary!$L$8,"YES","No")</f>
        <v>No</v>
      </c>
      <c r="L244" s="8" t="str">
        <f aca="false">IF(I244&gt;=Summary!$L$7,"Counted","Not Counted")</f>
        <v>Not Counted</v>
      </c>
      <c r="M244" s="13" t="n">
        <f aca="false">IF(I244&gt;=Summary!$L$6,20,ROUND(I244/Summary!$L$6*10,1)*2)</f>
        <v>14.4</v>
      </c>
      <c r="N244" s="35" t="n">
        <f aca="false">20-M244</f>
        <v>5.6</v>
      </c>
      <c r="O244" s="8" t="str">
        <f aca="false">IF(I244&gt;=Summary!$L$6,"75%+ (all benefits)",IF(I244&gt;=Summary!$L$7,"55–74%",IF(I244&gt;=Summary!$L$8,"30–54%","Below 30%")))</f>
        <v>30–54%</v>
      </c>
    </row>
    <row r="245" customFormat="false" ht="15" hidden="false" customHeight="false" outlineLevel="0" collapsed="false">
      <c r="A245" s="36" t="n">
        <v>240</v>
      </c>
      <c r="B245" s="36" t="s">
        <v>23</v>
      </c>
      <c r="C245" s="36" t="s">
        <v>535</v>
      </c>
      <c r="D245" s="37" t="s">
        <v>536</v>
      </c>
      <c r="E245" s="38" t="n">
        <v>46301</v>
      </c>
      <c r="F245" s="36" t="n">
        <v>285</v>
      </c>
      <c r="G245" s="36" t="n">
        <v>87</v>
      </c>
      <c r="H245" s="36" t="n">
        <v>372</v>
      </c>
      <c r="I245" s="34" t="n">
        <f aca="false">ROUND(F245/H245*100,0)/100</f>
        <v>0.77</v>
      </c>
      <c r="J245" s="8" t="str">
        <f aca="false">IF(I245&gt;=Summary!$L$6,"Eligible","Shortage")</f>
        <v>Eligible</v>
      </c>
      <c r="K245" s="8" t="str">
        <f aca="false">IF(I245&lt;Summary!$L$8,"YES","No")</f>
        <v>No</v>
      </c>
      <c r="L245" s="8" t="str">
        <f aca="false">IF(I245&gt;=Summary!$L$7,"Counted","Not Counted")</f>
        <v>Counted</v>
      </c>
      <c r="M245" s="13" t="n">
        <f aca="false">IF(I245&gt;=Summary!$L$6,20,ROUND(I245/Summary!$L$6*10,1)*2)</f>
        <v>20</v>
      </c>
      <c r="N245" s="35" t="n">
        <f aca="false">20-M245</f>
        <v>0</v>
      </c>
      <c r="O245" s="8" t="str">
        <f aca="false">IF(I245&gt;=Summary!$L$6,"75%+ (all benefits)",IF(I245&gt;=Summary!$L$7,"55–74%",IF(I245&gt;=Summary!$L$8,"30–54%","Below 30%")))</f>
        <v>75%+ (all benefits)</v>
      </c>
    </row>
    <row r="246" customFormat="false" ht="15" hidden="false" customHeight="false" outlineLevel="0" collapsed="false">
      <c r="A246" s="8" t="n">
        <v>241</v>
      </c>
      <c r="B246" s="8" t="s">
        <v>23</v>
      </c>
      <c r="C246" s="8" t="s">
        <v>537</v>
      </c>
      <c r="D246" s="30" t="s">
        <v>538</v>
      </c>
      <c r="E246" s="9" t="n">
        <v>46301</v>
      </c>
      <c r="F246" s="8" t="n">
        <v>286</v>
      </c>
      <c r="G246" s="8" t="n">
        <v>86</v>
      </c>
      <c r="H246" s="8" t="n">
        <v>372</v>
      </c>
      <c r="I246" s="34" t="n">
        <f aca="false">ROUND(F246/H246*100,0)/100</f>
        <v>0.77</v>
      </c>
      <c r="J246" s="8" t="str">
        <f aca="false">IF(I246&gt;=Summary!$L$6,"Eligible","Shortage")</f>
        <v>Eligible</v>
      </c>
      <c r="K246" s="8" t="str">
        <f aca="false">IF(I246&lt;Summary!$L$8,"YES","No")</f>
        <v>No</v>
      </c>
      <c r="L246" s="8" t="str">
        <f aca="false">IF(I246&gt;=Summary!$L$7,"Counted","Not Counted")</f>
        <v>Counted</v>
      </c>
      <c r="M246" s="13" t="n">
        <f aca="false">IF(I246&gt;=Summary!$L$6,20,ROUND(I246/Summary!$L$6*10,1)*2)</f>
        <v>20</v>
      </c>
      <c r="N246" s="35" t="n">
        <f aca="false">20-M246</f>
        <v>0</v>
      </c>
      <c r="O246" s="8" t="str">
        <f aca="false">IF(I246&gt;=Summary!$L$6,"75%+ (all benefits)",IF(I246&gt;=Summary!$L$7,"55–74%",IF(I246&gt;=Summary!$L$8,"30–54%","Below 30%")))</f>
        <v>75%+ (all benefits)</v>
      </c>
    </row>
    <row r="247" customFormat="false" ht="15" hidden="false" customHeight="false" outlineLevel="0" collapsed="false">
      <c r="A247" s="36" t="n">
        <v>242</v>
      </c>
      <c r="B247" s="36" t="s">
        <v>23</v>
      </c>
      <c r="C247" s="36" t="s">
        <v>539</v>
      </c>
      <c r="D247" s="37" t="s">
        <v>540</v>
      </c>
      <c r="E247" s="38" t="n">
        <v>46301</v>
      </c>
      <c r="F247" s="36" t="n">
        <v>263</v>
      </c>
      <c r="G247" s="36" t="n">
        <v>109</v>
      </c>
      <c r="H247" s="36" t="n">
        <v>372</v>
      </c>
      <c r="I247" s="34" t="n">
        <f aca="false">ROUND(F247/H247*100,0)/100</f>
        <v>0.71</v>
      </c>
      <c r="J247" s="8" t="str">
        <f aca="false">IF(I247&gt;=Summary!$L$6,"Eligible","Shortage")</f>
        <v>Shortage</v>
      </c>
      <c r="K247" s="8" t="str">
        <f aca="false">IF(I247&lt;Summary!$L$8,"YES","No")</f>
        <v>No</v>
      </c>
      <c r="L247" s="8" t="str">
        <f aca="false">IF(I247&gt;=Summary!$L$7,"Counted","Not Counted")</f>
        <v>Counted</v>
      </c>
      <c r="M247" s="13" t="n">
        <f aca="false">IF(I247&gt;=Summary!$L$6,20,ROUND(I247/Summary!$L$6*10,1)*2)</f>
        <v>19</v>
      </c>
      <c r="N247" s="35" t="n">
        <f aca="false">20-M247</f>
        <v>1</v>
      </c>
      <c r="O247" s="8" t="str">
        <f aca="false">IF(I247&gt;=Summary!$L$6,"75%+ (all benefits)",IF(I247&gt;=Summary!$L$7,"55–74%",IF(I247&gt;=Summary!$L$8,"30–54%","Below 30%")))</f>
        <v>55–74%</v>
      </c>
    </row>
    <row r="248" customFormat="false" ht="15" hidden="false" customHeight="false" outlineLevel="0" collapsed="false">
      <c r="A248" s="8" t="n">
        <v>243</v>
      </c>
      <c r="B248" s="8" t="s">
        <v>23</v>
      </c>
      <c r="C248" s="8" t="s">
        <v>541</v>
      </c>
      <c r="D248" s="30" t="s">
        <v>542</v>
      </c>
      <c r="E248" s="9" t="n">
        <v>46301</v>
      </c>
      <c r="F248" s="8" t="n">
        <v>289</v>
      </c>
      <c r="G248" s="8" t="n">
        <v>83</v>
      </c>
      <c r="H248" s="8" t="n">
        <v>372</v>
      </c>
      <c r="I248" s="34" t="n">
        <f aca="false">ROUND(F248/H248*100,0)/100</f>
        <v>0.78</v>
      </c>
      <c r="J248" s="8" t="str">
        <f aca="false">IF(I248&gt;=Summary!$L$6,"Eligible","Shortage")</f>
        <v>Eligible</v>
      </c>
      <c r="K248" s="8" t="str">
        <f aca="false">IF(I248&lt;Summary!$L$8,"YES","No")</f>
        <v>No</v>
      </c>
      <c r="L248" s="8" t="str">
        <f aca="false">IF(I248&gt;=Summary!$L$7,"Counted","Not Counted")</f>
        <v>Counted</v>
      </c>
      <c r="M248" s="13" t="n">
        <f aca="false">IF(I248&gt;=Summary!$L$6,20,ROUND(I248/Summary!$L$6*10,1)*2)</f>
        <v>20</v>
      </c>
      <c r="N248" s="35" t="n">
        <f aca="false">20-M248</f>
        <v>0</v>
      </c>
      <c r="O248" s="8" t="str">
        <f aca="false">IF(I248&gt;=Summary!$L$6,"75%+ (all benefits)",IF(I248&gt;=Summary!$L$7,"55–74%",IF(I248&gt;=Summary!$L$8,"30–54%","Below 30%")))</f>
        <v>75%+ (all benefits)</v>
      </c>
    </row>
    <row r="249" customFormat="false" ht="15" hidden="false" customHeight="false" outlineLevel="0" collapsed="false">
      <c r="A249" s="36" t="n">
        <v>244</v>
      </c>
      <c r="B249" s="36" t="s">
        <v>23</v>
      </c>
      <c r="C249" s="36" t="s">
        <v>543</v>
      </c>
      <c r="D249" s="37" t="s">
        <v>544</v>
      </c>
      <c r="E249" s="38" t="n">
        <v>46301</v>
      </c>
      <c r="F249" s="36" t="n">
        <v>251</v>
      </c>
      <c r="G249" s="36" t="n">
        <v>121</v>
      </c>
      <c r="H249" s="36" t="n">
        <v>372</v>
      </c>
      <c r="I249" s="34" t="n">
        <f aca="false">ROUND(F249/H249*100,0)/100</f>
        <v>0.67</v>
      </c>
      <c r="J249" s="8" t="str">
        <f aca="false">IF(I249&gt;=Summary!$L$6,"Eligible","Shortage")</f>
        <v>Shortage</v>
      </c>
      <c r="K249" s="8" t="str">
        <f aca="false">IF(I249&lt;Summary!$L$8,"YES","No")</f>
        <v>No</v>
      </c>
      <c r="L249" s="8" t="str">
        <f aca="false">IF(I249&gt;=Summary!$L$7,"Counted","Not Counted")</f>
        <v>Counted</v>
      </c>
      <c r="M249" s="13" t="n">
        <f aca="false">IF(I249&gt;=Summary!$L$6,20,ROUND(I249/Summary!$L$6*10,1)*2)</f>
        <v>17.8</v>
      </c>
      <c r="N249" s="35" t="n">
        <f aca="false">20-M249</f>
        <v>2.2</v>
      </c>
      <c r="O249" s="8" t="str">
        <f aca="false">IF(I249&gt;=Summary!$L$6,"75%+ (all benefits)",IF(I249&gt;=Summary!$L$7,"55–74%",IF(I249&gt;=Summary!$L$8,"30–54%","Below 30%")))</f>
        <v>55–74%</v>
      </c>
    </row>
    <row r="250" customFormat="false" ht="15" hidden="false" customHeight="false" outlineLevel="0" collapsed="false">
      <c r="A250" s="8" t="n">
        <v>245</v>
      </c>
      <c r="B250" s="8" t="s">
        <v>23</v>
      </c>
      <c r="C250" s="8" t="s">
        <v>545</v>
      </c>
      <c r="D250" s="30" t="s">
        <v>546</v>
      </c>
      <c r="E250" s="9" t="n">
        <v>46301</v>
      </c>
      <c r="F250" s="8" t="n">
        <v>294</v>
      </c>
      <c r="G250" s="8" t="n">
        <v>78</v>
      </c>
      <c r="H250" s="8" t="n">
        <v>372</v>
      </c>
      <c r="I250" s="34" t="n">
        <f aca="false">ROUND(F250/H250*100,0)/100</f>
        <v>0.79</v>
      </c>
      <c r="J250" s="8" t="str">
        <f aca="false">IF(I250&gt;=Summary!$L$6,"Eligible","Shortage")</f>
        <v>Eligible</v>
      </c>
      <c r="K250" s="8" t="str">
        <f aca="false">IF(I250&lt;Summary!$L$8,"YES","No")</f>
        <v>No</v>
      </c>
      <c r="L250" s="8" t="str">
        <f aca="false">IF(I250&gt;=Summary!$L$7,"Counted","Not Counted")</f>
        <v>Counted</v>
      </c>
      <c r="M250" s="13" t="n">
        <f aca="false">IF(I250&gt;=Summary!$L$6,20,ROUND(I250/Summary!$L$6*10,1)*2)</f>
        <v>20</v>
      </c>
      <c r="N250" s="35" t="n">
        <f aca="false">20-M250</f>
        <v>0</v>
      </c>
      <c r="O250" s="8" t="str">
        <f aca="false">IF(I250&gt;=Summary!$L$6,"75%+ (all benefits)",IF(I250&gt;=Summary!$L$7,"55–74%",IF(I250&gt;=Summary!$L$8,"30–54%","Below 30%")))</f>
        <v>75%+ (all benefits)</v>
      </c>
    </row>
    <row r="251" customFormat="false" ht="15" hidden="false" customHeight="false" outlineLevel="0" collapsed="false">
      <c r="A251" s="36" t="n">
        <v>246</v>
      </c>
      <c r="B251" s="36" t="s">
        <v>23</v>
      </c>
      <c r="C251" s="36" t="s">
        <v>547</v>
      </c>
      <c r="D251" s="37" t="s">
        <v>548</v>
      </c>
      <c r="E251" s="38" t="n">
        <v>46301</v>
      </c>
      <c r="F251" s="36" t="n">
        <v>287</v>
      </c>
      <c r="G251" s="36" t="n">
        <v>85</v>
      </c>
      <c r="H251" s="36" t="n">
        <v>372</v>
      </c>
      <c r="I251" s="34" t="n">
        <f aca="false">ROUND(F251/H251*100,0)/100</f>
        <v>0.77</v>
      </c>
      <c r="J251" s="8" t="str">
        <f aca="false">IF(I251&gt;=Summary!$L$6,"Eligible","Shortage")</f>
        <v>Eligible</v>
      </c>
      <c r="K251" s="8" t="str">
        <f aca="false">IF(I251&lt;Summary!$L$8,"YES","No")</f>
        <v>No</v>
      </c>
      <c r="L251" s="8" t="str">
        <f aca="false">IF(I251&gt;=Summary!$L$7,"Counted","Not Counted")</f>
        <v>Counted</v>
      </c>
      <c r="M251" s="13" t="n">
        <f aca="false">IF(I251&gt;=Summary!$L$6,20,ROUND(I251/Summary!$L$6*10,1)*2)</f>
        <v>20</v>
      </c>
      <c r="N251" s="35" t="n">
        <f aca="false">20-M251</f>
        <v>0</v>
      </c>
      <c r="O251" s="8" t="str">
        <f aca="false">IF(I251&gt;=Summary!$L$6,"75%+ (all benefits)",IF(I251&gt;=Summary!$L$7,"55–74%",IF(I251&gt;=Summary!$L$8,"30–54%","Below 30%")))</f>
        <v>75%+ (all benefits)</v>
      </c>
    </row>
    <row r="252" customFormat="false" ht="15" hidden="false" customHeight="false" outlineLevel="0" collapsed="false">
      <c r="A252" s="8" t="n">
        <v>247</v>
      </c>
      <c r="B252" s="8" t="s">
        <v>23</v>
      </c>
      <c r="C252" s="8" t="s">
        <v>549</v>
      </c>
      <c r="D252" s="30" t="s">
        <v>550</v>
      </c>
      <c r="E252" s="9" t="n">
        <v>46301</v>
      </c>
      <c r="F252" s="8" t="n">
        <v>296</v>
      </c>
      <c r="G252" s="8" t="n">
        <v>76</v>
      </c>
      <c r="H252" s="8" t="n">
        <v>372</v>
      </c>
      <c r="I252" s="34" t="n">
        <f aca="false">ROUND(F252/H252*100,0)/100</f>
        <v>0.8</v>
      </c>
      <c r="J252" s="8" t="str">
        <f aca="false">IF(I252&gt;=Summary!$L$6,"Eligible","Shortage")</f>
        <v>Eligible</v>
      </c>
      <c r="K252" s="8" t="str">
        <f aca="false">IF(I252&lt;Summary!$L$8,"YES","No")</f>
        <v>No</v>
      </c>
      <c r="L252" s="8" t="str">
        <f aca="false">IF(I252&gt;=Summary!$L$7,"Counted","Not Counted")</f>
        <v>Counted</v>
      </c>
      <c r="M252" s="13" t="n">
        <f aca="false">IF(I252&gt;=Summary!$L$6,20,ROUND(I252/Summary!$L$6*10,1)*2)</f>
        <v>20</v>
      </c>
      <c r="N252" s="35" t="n">
        <f aca="false">20-M252</f>
        <v>0</v>
      </c>
      <c r="O252" s="8" t="str">
        <f aca="false">IF(I252&gt;=Summary!$L$6,"75%+ (all benefits)",IF(I252&gt;=Summary!$L$7,"55–74%",IF(I252&gt;=Summary!$L$8,"30–54%","Below 30%")))</f>
        <v>75%+ (all benefits)</v>
      </c>
    </row>
    <row r="253" customFormat="false" ht="15" hidden="false" customHeight="false" outlineLevel="0" collapsed="false">
      <c r="A253" s="36" t="n">
        <v>248</v>
      </c>
      <c r="B253" s="36" t="s">
        <v>23</v>
      </c>
      <c r="C253" s="36" t="s">
        <v>551</v>
      </c>
      <c r="D253" s="37" t="s">
        <v>552</v>
      </c>
      <c r="E253" s="38" t="n">
        <v>46301</v>
      </c>
      <c r="F253" s="36" t="n">
        <v>290</v>
      </c>
      <c r="G253" s="36" t="n">
        <v>82</v>
      </c>
      <c r="H253" s="36" t="n">
        <v>372</v>
      </c>
      <c r="I253" s="34" t="n">
        <f aca="false">ROUND(F253/H253*100,0)/100</f>
        <v>0.78</v>
      </c>
      <c r="J253" s="8" t="str">
        <f aca="false">IF(I253&gt;=Summary!$L$6,"Eligible","Shortage")</f>
        <v>Eligible</v>
      </c>
      <c r="K253" s="8" t="str">
        <f aca="false">IF(I253&lt;Summary!$L$8,"YES","No")</f>
        <v>No</v>
      </c>
      <c r="L253" s="8" t="str">
        <f aca="false">IF(I253&gt;=Summary!$L$7,"Counted","Not Counted")</f>
        <v>Counted</v>
      </c>
      <c r="M253" s="13" t="n">
        <f aca="false">IF(I253&gt;=Summary!$L$6,20,ROUND(I253/Summary!$L$6*10,1)*2)</f>
        <v>20</v>
      </c>
      <c r="N253" s="35" t="n">
        <f aca="false">20-M253</f>
        <v>0</v>
      </c>
      <c r="O253" s="8" t="str">
        <f aca="false">IF(I253&gt;=Summary!$L$6,"75%+ (all benefits)",IF(I253&gt;=Summary!$L$7,"55–74%",IF(I253&gt;=Summary!$L$8,"30–54%","Below 30%")))</f>
        <v>75%+ (all benefits)</v>
      </c>
    </row>
    <row r="254" customFormat="false" ht="15" hidden="false" customHeight="false" outlineLevel="0" collapsed="false">
      <c r="A254" s="8" t="n">
        <v>249</v>
      </c>
      <c r="B254" s="8" t="s">
        <v>23</v>
      </c>
      <c r="C254" s="8" t="s">
        <v>553</v>
      </c>
      <c r="D254" s="30" t="s">
        <v>554</v>
      </c>
      <c r="E254" s="9" t="n">
        <v>46301</v>
      </c>
      <c r="F254" s="8" t="n">
        <v>291</v>
      </c>
      <c r="G254" s="8" t="n">
        <v>81</v>
      </c>
      <c r="H254" s="8" t="n">
        <v>372</v>
      </c>
      <c r="I254" s="34" t="n">
        <f aca="false">ROUND(F254/H254*100,0)/100</f>
        <v>0.78</v>
      </c>
      <c r="J254" s="8" t="str">
        <f aca="false">IF(I254&gt;=Summary!$L$6,"Eligible","Shortage")</f>
        <v>Eligible</v>
      </c>
      <c r="K254" s="8" t="str">
        <f aca="false">IF(I254&lt;Summary!$L$8,"YES","No")</f>
        <v>No</v>
      </c>
      <c r="L254" s="8" t="str">
        <f aca="false">IF(I254&gt;=Summary!$L$7,"Counted","Not Counted")</f>
        <v>Counted</v>
      </c>
      <c r="M254" s="13" t="n">
        <f aca="false">IF(I254&gt;=Summary!$L$6,20,ROUND(I254/Summary!$L$6*10,1)*2)</f>
        <v>20</v>
      </c>
      <c r="N254" s="35" t="n">
        <f aca="false">20-M254</f>
        <v>0</v>
      </c>
      <c r="O254" s="8" t="str">
        <f aca="false">IF(I254&gt;=Summary!$L$6,"75%+ (all benefits)",IF(I254&gt;=Summary!$L$7,"55–74%",IF(I254&gt;=Summary!$L$8,"30–54%","Below 30%")))</f>
        <v>75%+ (all benefits)</v>
      </c>
    </row>
    <row r="255" customFormat="false" ht="15" hidden="false" customHeight="false" outlineLevel="0" collapsed="false">
      <c r="A255" s="36" t="n">
        <v>250</v>
      </c>
      <c r="B255" s="36" t="s">
        <v>23</v>
      </c>
      <c r="C255" s="36" t="s">
        <v>555</v>
      </c>
      <c r="D255" s="37" t="s">
        <v>556</v>
      </c>
      <c r="E255" s="38" t="n">
        <v>46301</v>
      </c>
      <c r="F255" s="36" t="n">
        <v>268</v>
      </c>
      <c r="G255" s="36" t="n">
        <v>104</v>
      </c>
      <c r="H255" s="36" t="n">
        <v>372</v>
      </c>
      <c r="I255" s="34" t="n">
        <f aca="false">ROUND(F255/H255*100,0)/100</f>
        <v>0.72</v>
      </c>
      <c r="J255" s="8" t="str">
        <f aca="false">IF(I255&gt;=Summary!$L$6,"Eligible","Shortage")</f>
        <v>Shortage</v>
      </c>
      <c r="K255" s="8" t="str">
        <f aca="false">IF(I255&lt;Summary!$L$8,"YES","No")</f>
        <v>No</v>
      </c>
      <c r="L255" s="8" t="str">
        <f aca="false">IF(I255&gt;=Summary!$L$7,"Counted","Not Counted")</f>
        <v>Counted</v>
      </c>
      <c r="M255" s="13" t="n">
        <f aca="false">IF(I255&gt;=Summary!$L$6,20,ROUND(I255/Summary!$L$6*10,1)*2)</f>
        <v>19.2</v>
      </c>
      <c r="N255" s="35" t="n">
        <f aca="false">20-M255</f>
        <v>0.800000000000001</v>
      </c>
      <c r="O255" s="8" t="str">
        <f aca="false">IF(I255&gt;=Summary!$L$6,"75%+ (all benefits)",IF(I255&gt;=Summary!$L$7,"55–74%",IF(I255&gt;=Summary!$L$8,"30–54%","Below 30%")))</f>
        <v>55–74%</v>
      </c>
    </row>
    <row r="256" customFormat="false" ht="15" hidden="false" customHeight="false" outlineLevel="0" collapsed="false">
      <c r="A256" s="8" t="n">
        <v>251</v>
      </c>
      <c r="B256" s="8" t="s">
        <v>23</v>
      </c>
      <c r="C256" s="8" t="s">
        <v>557</v>
      </c>
      <c r="D256" s="30" t="s">
        <v>558</v>
      </c>
      <c r="E256" s="9" t="n">
        <v>46301</v>
      </c>
      <c r="F256" s="8" t="n">
        <v>312</v>
      </c>
      <c r="G256" s="8" t="n">
        <v>60</v>
      </c>
      <c r="H256" s="8" t="n">
        <v>372</v>
      </c>
      <c r="I256" s="34" t="n">
        <f aca="false">ROUND(F256/H256*100,0)/100</f>
        <v>0.84</v>
      </c>
      <c r="J256" s="8" t="str">
        <f aca="false">IF(I256&gt;=Summary!$L$6,"Eligible","Shortage")</f>
        <v>Eligible</v>
      </c>
      <c r="K256" s="8" t="str">
        <f aca="false">IF(I256&lt;Summary!$L$8,"YES","No")</f>
        <v>No</v>
      </c>
      <c r="L256" s="8" t="str">
        <f aca="false">IF(I256&gt;=Summary!$L$7,"Counted","Not Counted")</f>
        <v>Counted</v>
      </c>
      <c r="M256" s="13" t="n">
        <f aca="false">IF(I256&gt;=Summary!$L$6,20,ROUND(I256/Summary!$L$6*10,1)*2)</f>
        <v>20</v>
      </c>
      <c r="N256" s="35" t="n">
        <f aca="false">20-M256</f>
        <v>0</v>
      </c>
      <c r="O256" s="8" t="str">
        <f aca="false">IF(I256&gt;=Summary!$L$6,"75%+ (all benefits)",IF(I256&gt;=Summary!$L$7,"55–74%",IF(I256&gt;=Summary!$L$8,"30–54%","Below 30%")))</f>
        <v>75%+ (all benefits)</v>
      </c>
    </row>
  </sheetData>
  <autoFilter ref="A5:O256"/>
  <mergeCells count="3">
    <mergeCell ref="A1:O1"/>
    <mergeCell ref="A2:O2"/>
    <mergeCell ref="A3:O3"/>
  </mergeCells>
  <conditionalFormatting sqref="I6:I256">
    <cfRule type="cellIs" priority="2" operator="greaterThanOrEqual" aboveAverage="0" equalAverage="0" bottom="0" percent="0" rank="0" text="" dxfId="8">
      <formula>0.75</formula>
    </cfRule>
    <cfRule type="cellIs" priority="3" operator="greaterThanOrEqual" aboveAverage="0" equalAverage="0" bottom="0" percent="0" rank="0" text="" dxfId="9">
      <formula>0.55</formula>
    </cfRule>
    <cfRule type="cellIs" priority="4" operator="greaterThanOrEqual" aboveAverage="0" equalAverage="0" bottom="0" percent="0" rank="0" text="" dxfId="10">
      <formula>0.3</formula>
    </cfRule>
    <cfRule type="cellIs" priority="5" operator="lessThan" aboveAverage="0" equalAverage="0" bottom="0" percent="0" rank="0" text="" dxfId="11">
      <formula>0.3</formula>
    </cfRule>
  </conditionalFormatting>
  <conditionalFormatting sqref="J6:J256">
    <cfRule type="expression" priority="6" aboveAverage="0" equalAverage="0" bottom="0" percent="0" rank="0" text="" dxfId="8">
      <formula>J6="Eligible"</formula>
    </cfRule>
    <cfRule type="expression" priority="7" aboveAverage="0" equalAverage="0" bottom="0" percent="0" rank="0" text="" dxfId="10">
      <formula>J6="Shortage"</formula>
    </cfRule>
  </conditionalFormatting>
  <conditionalFormatting sqref="L6:L256">
    <cfRule type="expression" priority="8" aboveAverage="0" equalAverage="0" bottom="0" percent="0" rank="0" text="" dxfId="8">
      <formula>L6="Counted"</formula>
    </cfRule>
    <cfRule type="expression" priority="9" aboveAverage="0" equalAverage="0" bottom="0" percent="0" rank="0" text="" dxfId="10">
      <formula>L6="Not Counted"</formula>
    </cfRule>
  </conditionalFormatting>
  <conditionalFormatting sqref="K6:K256">
    <cfRule type="expression" priority="10" aboveAverage="0" equalAverage="0" bottom="0" percent="0" rank="0" text="" dxfId="12">
      <formula>K6="YES"</formula>
    </cfRule>
    <cfRule type="expression" priority="11" aboveAverage="0" equalAverage="0" bottom="0" percent="0" rank="0" text="" dxfId="8">
      <formula>K6="No"</formula>
    </cfRule>
  </conditionalFormatting>
  <conditionalFormatting sqref="M6:M256">
    <cfRule type="cellIs" priority="12" operator="greaterThanOrEqual" aboveAverage="0" equalAverage="0" bottom="0" percent="0" rank="0" text="" dxfId="8">
      <formula>20</formula>
    </cfRule>
    <cfRule type="cellIs" priority="13" operator="greaterThanOrEqual" aboveAverage="0" equalAverage="0" bottom="0" percent="0" rank="0" text="" dxfId="9">
      <formula>10</formula>
    </cfRule>
    <cfRule type="cellIs" priority="14" operator="lessThan" aboveAverage="0" equalAverage="0" bottom="0" percent="0" rank="0" text="" dxfId="10">
      <formula>10</formula>
    </cfRule>
  </conditionalFormatting>
  <conditionalFormatting sqref="N6:N256">
    <cfRule type="cellIs" priority="15" operator="greaterThan" aboveAverage="0" equalAverage="0" bottom="0" percent="0" rank="0" text="" dxfId="10">
      <formula>0</formula>
    </cfRule>
  </conditionalFormatting>
  <conditionalFormatting sqref="O6:O256">
    <cfRule type="expression" priority="16" aboveAverage="0" equalAverage="0" bottom="0" percent="0" rank="0" text="" dxfId="8">
      <formula>O6="75%+ (all benefits)"</formula>
    </cfRule>
    <cfRule type="expression" priority="17" aboveAverage="0" equalAverage="0" bottom="0" percent="0" rank="0" text="" dxfId="9">
      <formula>O6="55–74%"</formula>
    </cfRule>
    <cfRule type="expression" priority="18" aboveAverage="0" equalAverage="0" bottom="0" percent="0" rank="0" text="" dxfId="10">
      <formula>O6="30–54%"</formula>
    </cfRule>
    <cfRule type="expression" priority="19" aboveAverage="0" equalAverage="0" bottom="0" percent="0" rank="0" text="" dxfId="11">
      <formula>O6="Below 30%"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2026-10-07T03:30:31Z</dcterms:created>
  <dc:creator>openpyxl</dc:creator>
  <dc:description/>
  <dc:language>en-US</dc:language>
  <cp:lastModifiedBy/>
  <dcterms:modified xsi:type="dcterms:W3CDTF">2026-10-07T03:30:31Z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